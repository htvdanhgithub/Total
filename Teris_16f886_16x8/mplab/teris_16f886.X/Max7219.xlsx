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0190" windowHeight="7995" activeTab="1"/>
  </bookViews>
  <sheets>
    <sheet name="4x4" sheetId="1" r:id="rId1"/>
    <sheet name="8x8" sheetId="2" r:id="rId2"/>
  </sheets>
  <calcPr calcId="144525"/>
</workbook>
</file>

<file path=xl/calcChain.xml><?xml version="1.0" encoding="utf-8"?>
<calcChain xmlns="http://schemas.openxmlformats.org/spreadsheetml/2006/main">
  <c r="I16" i="2" l="1"/>
  <c r="I8" i="2"/>
  <c r="I9" i="2"/>
  <c r="I10" i="2"/>
  <c r="I11" i="2"/>
  <c r="I12" i="2"/>
  <c r="I13" i="2"/>
  <c r="I14" i="2"/>
  <c r="I15" i="2"/>
  <c r="I3" i="2"/>
  <c r="I4" i="2"/>
  <c r="I5" i="2"/>
  <c r="I6" i="2"/>
  <c r="I7" i="2"/>
  <c r="I2" i="2"/>
  <c r="I1" i="2"/>
  <c r="W96" i="1" l="1"/>
  <c r="W95" i="1"/>
  <c r="W94" i="1"/>
  <c r="W93" i="1"/>
  <c r="W84" i="1"/>
  <c r="W83" i="1"/>
  <c r="W82" i="1"/>
  <c r="W81" i="1"/>
  <c r="W72" i="1"/>
  <c r="W71" i="1"/>
  <c r="W70" i="1"/>
  <c r="W69" i="1"/>
  <c r="W60" i="1"/>
  <c r="W59" i="1"/>
  <c r="W58" i="1"/>
  <c r="W57" i="1"/>
  <c r="W49" i="1"/>
  <c r="W48" i="1"/>
  <c r="W47" i="1"/>
  <c r="W46" i="1"/>
  <c r="W37" i="1"/>
  <c r="W36" i="1"/>
  <c r="W35" i="1"/>
  <c r="W34" i="1"/>
  <c r="W26" i="1"/>
  <c r="W25" i="1"/>
  <c r="W24" i="1"/>
  <c r="W23" i="1"/>
  <c r="W15" i="1"/>
  <c r="W14" i="1"/>
  <c r="W13" i="1"/>
  <c r="W12" i="1"/>
  <c r="W4" i="1"/>
  <c r="W3" i="1"/>
  <c r="W2" i="1"/>
  <c r="W1" i="1"/>
  <c r="Q96" i="1"/>
  <c r="Q95" i="1"/>
  <c r="Q94" i="1"/>
  <c r="Q93" i="1"/>
  <c r="Q84" i="1"/>
  <c r="Q83" i="1"/>
  <c r="Q82" i="1"/>
  <c r="Q81" i="1"/>
  <c r="Q72" i="1"/>
  <c r="Q71" i="1"/>
  <c r="Q70" i="1"/>
  <c r="Q69" i="1"/>
  <c r="Q60" i="1"/>
  <c r="Q59" i="1"/>
  <c r="Q58" i="1"/>
  <c r="Q57" i="1"/>
  <c r="Q49" i="1"/>
  <c r="Q48" i="1"/>
  <c r="Q47" i="1"/>
  <c r="Q46" i="1"/>
  <c r="Q37" i="1"/>
  <c r="Q36" i="1"/>
  <c r="Q35" i="1"/>
  <c r="Q34" i="1"/>
  <c r="Q26" i="1"/>
  <c r="Q25" i="1"/>
  <c r="Q24" i="1"/>
  <c r="Q23" i="1"/>
  <c r="Q15" i="1"/>
  <c r="Q14" i="1"/>
  <c r="Q13" i="1"/>
  <c r="Q12" i="1"/>
  <c r="Q4" i="1"/>
  <c r="Q3" i="1"/>
  <c r="Q2" i="1"/>
  <c r="Q1" i="1"/>
  <c r="K96" i="1"/>
  <c r="K95" i="1"/>
  <c r="K94" i="1"/>
  <c r="K93" i="1"/>
  <c r="K84" i="1"/>
  <c r="K83" i="1"/>
  <c r="K82" i="1"/>
  <c r="K81" i="1"/>
  <c r="K72" i="1"/>
  <c r="K71" i="1"/>
  <c r="K70" i="1"/>
  <c r="K69" i="1"/>
  <c r="K60" i="1"/>
  <c r="K59" i="1"/>
  <c r="K58" i="1"/>
  <c r="K57" i="1"/>
  <c r="K49" i="1"/>
  <c r="K48" i="1"/>
  <c r="K47" i="1"/>
  <c r="K46" i="1"/>
  <c r="K37" i="1"/>
  <c r="K36" i="1"/>
  <c r="K35" i="1"/>
  <c r="K34" i="1"/>
  <c r="K26" i="1"/>
  <c r="K25" i="1"/>
  <c r="K24" i="1"/>
  <c r="K23" i="1"/>
  <c r="K15" i="1"/>
  <c r="K14" i="1"/>
  <c r="K13" i="1"/>
  <c r="K12" i="1"/>
  <c r="K4" i="1"/>
  <c r="K3" i="1"/>
  <c r="K2" i="1"/>
  <c r="K1" i="1"/>
  <c r="E96" i="1"/>
  <c r="E95" i="1"/>
  <c r="E94" i="1"/>
  <c r="E93" i="1"/>
  <c r="E84" i="1"/>
  <c r="E83" i="1"/>
  <c r="E82" i="1"/>
  <c r="E81" i="1"/>
  <c r="E72" i="1"/>
  <c r="E71" i="1"/>
  <c r="E70" i="1"/>
  <c r="E69" i="1"/>
  <c r="E60" i="1"/>
  <c r="E59" i="1"/>
  <c r="E58" i="1"/>
  <c r="E57" i="1"/>
  <c r="E49" i="1"/>
  <c r="E48" i="1"/>
  <c r="E47" i="1"/>
  <c r="E46" i="1"/>
  <c r="E37" i="1"/>
  <c r="E36" i="1"/>
  <c r="E35" i="1"/>
  <c r="E34" i="1"/>
  <c r="E26" i="1"/>
  <c r="E25" i="1"/>
  <c r="E24" i="1"/>
  <c r="E23" i="1"/>
  <c r="E15" i="1"/>
  <c r="E14" i="1"/>
  <c r="E13" i="1"/>
  <c r="E12" i="1"/>
  <c r="E4" i="1"/>
  <c r="E3" i="1"/>
  <c r="E2" i="1"/>
  <c r="E1" i="1"/>
  <c r="AB97" i="1" l="1"/>
  <c r="AA97" i="1"/>
  <c r="Z97" i="1"/>
  <c r="Y97" i="1"/>
  <c r="V97" i="1"/>
  <c r="U97" i="1"/>
  <c r="T97" i="1"/>
  <c r="S97" i="1"/>
  <c r="P97" i="1"/>
  <c r="O97" i="1"/>
  <c r="N97" i="1"/>
  <c r="M97" i="1"/>
  <c r="J97" i="1"/>
  <c r="I97" i="1"/>
  <c r="H97" i="1"/>
  <c r="G97" i="1"/>
  <c r="D97" i="1"/>
  <c r="C97" i="1"/>
  <c r="B97" i="1"/>
  <c r="A97" i="1"/>
  <c r="AB85" i="1"/>
  <c r="AA85" i="1"/>
  <c r="Z85" i="1"/>
  <c r="Y85" i="1"/>
  <c r="V85" i="1"/>
  <c r="U85" i="1"/>
  <c r="T85" i="1"/>
  <c r="S85" i="1"/>
  <c r="P85" i="1"/>
  <c r="O85" i="1"/>
  <c r="N85" i="1"/>
  <c r="M85" i="1"/>
  <c r="J85" i="1"/>
  <c r="I85" i="1"/>
  <c r="H85" i="1"/>
  <c r="G85" i="1"/>
  <c r="D85" i="1"/>
  <c r="C85" i="1"/>
  <c r="B85" i="1"/>
  <c r="A85" i="1"/>
  <c r="AB73" i="1"/>
  <c r="AA73" i="1"/>
  <c r="Z73" i="1"/>
  <c r="Y73" i="1"/>
  <c r="V73" i="1"/>
  <c r="U73" i="1"/>
  <c r="T73" i="1"/>
  <c r="S73" i="1"/>
  <c r="P73" i="1"/>
  <c r="O73" i="1"/>
  <c r="N73" i="1"/>
  <c r="M73" i="1"/>
  <c r="J73" i="1"/>
  <c r="I73" i="1"/>
  <c r="H73" i="1"/>
  <c r="G73" i="1"/>
  <c r="D73" i="1"/>
  <c r="C73" i="1"/>
  <c r="B73" i="1"/>
  <c r="A73" i="1"/>
  <c r="AB61" i="1"/>
  <c r="AA61" i="1"/>
  <c r="Z61" i="1"/>
  <c r="Y61" i="1"/>
  <c r="V61" i="1"/>
  <c r="U61" i="1"/>
  <c r="T61" i="1"/>
  <c r="S61" i="1"/>
  <c r="P61" i="1"/>
  <c r="O61" i="1"/>
  <c r="N61" i="1"/>
  <c r="M61" i="1"/>
  <c r="J61" i="1"/>
  <c r="I61" i="1"/>
  <c r="H61" i="1"/>
  <c r="G61" i="1"/>
  <c r="D61" i="1"/>
  <c r="C61" i="1"/>
  <c r="B61" i="1"/>
  <c r="A61" i="1"/>
  <c r="AB50" i="1"/>
  <c r="AA50" i="1"/>
  <c r="Z50" i="1"/>
  <c r="Y50" i="1"/>
  <c r="V50" i="1"/>
  <c r="U50" i="1"/>
  <c r="T50" i="1"/>
  <c r="S50" i="1"/>
  <c r="P50" i="1"/>
  <c r="O50" i="1"/>
  <c r="N50" i="1"/>
  <c r="M50" i="1"/>
  <c r="J50" i="1"/>
  <c r="I50" i="1"/>
  <c r="H50" i="1"/>
  <c r="G50" i="1"/>
  <c r="D50" i="1"/>
  <c r="C50" i="1"/>
  <c r="B50" i="1"/>
  <c r="A50" i="1"/>
  <c r="AB38" i="1"/>
  <c r="AA38" i="1"/>
  <c r="Z38" i="1"/>
  <c r="Y38" i="1"/>
  <c r="V38" i="1"/>
  <c r="U38" i="1"/>
  <c r="T38" i="1"/>
  <c r="S38" i="1"/>
  <c r="P38" i="1"/>
  <c r="O38" i="1"/>
  <c r="N38" i="1"/>
  <c r="M38" i="1"/>
  <c r="J38" i="1"/>
  <c r="I38" i="1"/>
  <c r="H38" i="1"/>
  <c r="G38" i="1"/>
  <c r="D38" i="1"/>
  <c r="C38" i="1"/>
  <c r="B38" i="1"/>
  <c r="A38" i="1"/>
  <c r="AB27" i="1"/>
  <c r="AA27" i="1"/>
  <c r="Z27" i="1"/>
  <c r="Y27" i="1"/>
  <c r="V27" i="1"/>
  <c r="U27" i="1"/>
  <c r="T27" i="1"/>
  <c r="S27" i="1"/>
  <c r="P27" i="1"/>
  <c r="O27" i="1"/>
  <c r="N27" i="1"/>
  <c r="M27" i="1"/>
  <c r="J27" i="1"/>
  <c r="I27" i="1"/>
  <c r="H27" i="1"/>
  <c r="G27" i="1"/>
  <c r="D27" i="1"/>
  <c r="C27" i="1"/>
  <c r="B27" i="1"/>
  <c r="A27" i="1"/>
  <c r="AB16" i="1"/>
  <c r="AA16" i="1"/>
  <c r="Z16" i="1"/>
  <c r="Y16" i="1"/>
  <c r="V16" i="1"/>
  <c r="U16" i="1"/>
  <c r="T16" i="1"/>
  <c r="S16" i="1"/>
  <c r="P16" i="1"/>
  <c r="O16" i="1"/>
  <c r="N16" i="1"/>
  <c r="M16" i="1"/>
  <c r="J16" i="1"/>
  <c r="I16" i="1"/>
  <c r="H16" i="1"/>
  <c r="G16" i="1"/>
  <c r="D16" i="1"/>
  <c r="C16" i="1"/>
  <c r="B16" i="1"/>
  <c r="A16" i="1"/>
  <c r="AB5" i="1"/>
  <c r="AA5" i="1"/>
  <c r="Z5" i="1"/>
  <c r="Y5" i="1"/>
  <c r="V5" i="1"/>
  <c r="U5" i="1"/>
  <c r="T5" i="1"/>
  <c r="S5" i="1"/>
  <c r="P5" i="1"/>
  <c r="O5" i="1"/>
  <c r="N5" i="1"/>
  <c r="M5" i="1"/>
  <c r="J5" i="1"/>
  <c r="I5" i="1"/>
  <c r="H5" i="1"/>
  <c r="G5" i="1"/>
  <c r="B5" i="1"/>
  <c r="C5" i="1"/>
  <c r="D5" i="1"/>
  <c r="A5" i="1"/>
  <c r="AB102" i="1" l="1"/>
  <c r="AA102" i="1"/>
  <c r="Z102" i="1"/>
  <c r="Y102" i="1"/>
  <c r="V102" i="1"/>
  <c r="U102" i="1"/>
  <c r="T102" i="1"/>
  <c r="S102" i="1"/>
  <c r="P102" i="1"/>
  <c r="O102" i="1"/>
  <c r="N102" i="1"/>
  <c r="M102" i="1"/>
  <c r="J102" i="1"/>
  <c r="I102" i="1"/>
  <c r="H102" i="1"/>
  <c r="G102" i="1"/>
  <c r="D102" i="1"/>
  <c r="C102" i="1"/>
  <c r="B102" i="1"/>
  <c r="A102" i="1"/>
  <c r="AB101" i="1"/>
  <c r="AA101" i="1"/>
  <c r="Z101" i="1"/>
  <c r="Y101" i="1"/>
  <c r="V101" i="1"/>
  <c r="U101" i="1"/>
  <c r="T101" i="1"/>
  <c r="S101" i="1"/>
  <c r="P101" i="1"/>
  <c r="O101" i="1"/>
  <c r="N101" i="1"/>
  <c r="M101" i="1"/>
  <c r="J101" i="1"/>
  <c r="I101" i="1"/>
  <c r="H101" i="1"/>
  <c r="G101" i="1"/>
  <c r="D101" i="1"/>
  <c r="C101" i="1"/>
  <c r="B101" i="1"/>
  <c r="A101" i="1"/>
  <c r="AB100" i="1"/>
  <c r="AA100" i="1"/>
  <c r="Z100" i="1"/>
  <c r="Y100" i="1"/>
  <c r="V100" i="1"/>
  <c r="U100" i="1"/>
  <c r="T100" i="1"/>
  <c r="S100" i="1"/>
  <c r="P100" i="1"/>
  <c r="O100" i="1"/>
  <c r="N100" i="1"/>
  <c r="M100" i="1"/>
  <c r="J100" i="1"/>
  <c r="I100" i="1"/>
  <c r="H100" i="1"/>
  <c r="G100" i="1"/>
  <c r="D100" i="1"/>
  <c r="C100" i="1"/>
  <c r="B100" i="1"/>
  <c r="A100" i="1"/>
  <c r="AB99" i="1"/>
  <c r="AA99" i="1"/>
  <c r="Z99" i="1"/>
  <c r="Y99" i="1"/>
  <c r="V99" i="1"/>
  <c r="U99" i="1"/>
  <c r="T99" i="1"/>
  <c r="S99" i="1"/>
  <c r="P99" i="1"/>
  <c r="O99" i="1"/>
  <c r="N99" i="1"/>
  <c r="M99" i="1"/>
  <c r="J99" i="1"/>
  <c r="I99" i="1"/>
  <c r="H99" i="1"/>
  <c r="G99" i="1"/>
  <c r="D99" i="1"/>
  <c r="C99" i="1"/>
  <c r="B99" i="1"/>
  <c r="A99" i="1"/>
  <c r="AB90" i="1"/>
  <c r="AA90" i="1"/>
  <c r="Z90" i="1"/>
  <c r="Y90" i="1"/>
  <c r="V90" i="1"/>
  <c r="U90" i="1"/>
  <c r="T90" i="1"/>
  <c r="S90" i="1"/>
  <c r="P90" i="1"/>
  <c r="O90" i="1"/>
  <c r="N90" i="1"/>
  <c r="M90" i="1"/>
  <c r="J90" i="1"/>
  <c r="I90" i="1"/>
  <c r="H90" i="1"/>
  <c r="G90" i="1"/>
  <c r="D90" i="1"/>
  <c r="C90" i="1"/>
  <c r="B90" i="1"/>
  <c r="A90" i="1"/>
  <c r="AB89" i="1"/>
  <c r="AA89" i="1"/>
  <c r="Z89" i="1"/>
  <c r="Y89" i="1"/>
  <c r="V89" i="1"/>
  <c r="U89" i="1"/>
  <c r="T89" i="1"/>
  <c r="S89" i="1"/>
  <c r="P89" i="1"/>
  <c r="O89" i="1"/>
  <c r="N89" i="1"/>
  <c r="M89" i="1"/>
  <c r="J89" i="1"/>
  <c r="I89" i="1"/>
  <c r="H89" i="1"/>
  <c r="G89" i="1"/>
  <c r="D89" i="1"/>
  <c r="C89" i="1"/>
  <c r="B89" i="1"/>
  <c r="A89" i="1"/>
  <c r="AB88" i="1"/>
  <c r="AA88" i="1"/>
  <c r="Z88" i="1"/>
  <c r="Y88" i="1"/>
  <c r="V88" i="1"/>
  <c r="U88" i="1"/>
  <c r="T88" i="1"/>
  <c r="S88" i="1"/>
  <c r="P88" i="1"/>
  <c r="O88" i="1"/>
  <c r="N88" i="1"/>
  <c r="M88" i="1"/>
  <c r="J88" i="1"/>
  <c r="I88" i="1"/>
  <c r="H88" i="1"/>
  <c r="G88" i="1"/>
  <c r="D88" i="1"/>
  <c r="C88" i="1"/>
  <c r="B88" i="1"/>
  <c r="A88" i="1"/>
  <c r="AB87" i="1"/>
  <c r="AA87" i="1"/>
  <c r="Z87" i="1"/>
  <c r="Y87" i="1"/>
  <c r="V87" i="1"/>
  <c r="U87" i="1"/>
  <c r="T87" i="1"/>
  <c r="S87" i="1"/>
  <c r="P87" i="1"/>
  <c r="O87" i="1"/>
  <c r="N87" i="1"/>
  <c r="M87" i="1"/>
  <c r="J87" i="1"/>
  <c r="I87" i="1"/>
  <c r="H87" i="1"/>
  <c r="G87" i="1"/>
  <c r="D87" i="1"/>
  <c r="C87" i="1"/>
  <c r="B87" i="1"/>
  <c r="A87" i="1"/>
  <c r="AB78" i="1"/>
  <c r="AA78" i="1"/>
  <c r="Z78" i="1"/>
  <c r="Y78" i="1"/>
  <c r="V78" i="1"/>
  <c r="U78" i="1"/>
  <c r="T78" i="1"/>
  <c r="S78" i="1"/>
  <c r="P78" i="1"/>
  <c r="O78" i="1"/>
  <c r="N78" i="1"/>
  <c r="M78" i="1"/>
  <c r="J78" i="1"/>
  <c r="I78" i="1"/>
  <c r="H78" i="1"/>
  <c r="G78" i="1"/>
  <c r="D78" i="1"/>
  <c r="C78" i="1"/>
  <c r="B78" i="1"/>
  <c r="A78" i="1"/>
  <c r="AB77" i="1"/>
  <c r="AA77" i="1"/>
  <c r="Z77" i="1"/>
  <c r="Y77" i="1"/>
  <c r="V77" i="1"/>
  <c r="U77" i="1"/>
  <c r="T77" i="1"/>
  <c r="S77" i="1"/>
  <c r="P77" i="1"/>
  <c r="O77" i="1"/>
  <c r="N77" i="1"/>
  <c r="M77" i="1"/>
  <c r="J77" i="1"/>
  <c r="I77" i="1"/>
  <c r="H77" i="1"/>
  <c r="G77" i="1"/>
  <c r="D77" i="1"/>
  <c r="C77" i="1"/>
  <c r="B77" i="1"/>
  <c r="A77" i="1"/>
  <c r="AB76" i="1"/>
  <c r="AA76" i="1"/>
  <c r="Z76" i="1"/>
  <c r="Y76" i="1"/>
  <c r="V76" i="1"/>
  <c r="U76" i="1"/>
  <c r="T76" i="1"/>
  <c r="S76" i="1"/>
  <c r="P76" i="1"/>
  <c r="O76" i="1"/>
  <c r="N76" i="1"/>
  <c r="M76" i="1"/>
  <c r="J76" i="1"/>
  <c r="I76" i="1"/>
  <c r="H76" i="1"/>
  <c r="G76" i="1"/>
  <c r="D76" i="1"/>
  <c r="C76" i="1"/>
  <c r="B76" i="1"/>
  <c r="A76" i="1"/>
  <c r="AB75" i="1"/>
  <c r="AA75" i="1"/>
  <c r="Z75" i="1"/>
  <c r="Y75" i="1"/>
  <c r="V75" i="1"/>
  <c r="U75" i="1"/>
  <c r="T75" i="1"/>
  <c r="S75" i="1"/>
  <c r="P75" i="1"/>
  <c r="O75" i="1"/>
  <c r="N75" i="1"/>
  <c r="M75" i="1"/>
  <c r="J75" i="1"/>
  <c r="I75" i="1"/>
  <c r="H75" i="1"/>
  <c r="G75" i="1"/>
  <c r="D75" i="1"/>
  <c r="C75" i="1"/>
  <c r="B75" i="1"/>
  <c r="A75" i="1"/>
  <c r="AB66" i="1"/>
  <c r="AA66" i="1"/>
  <c r="Z66" i="1"/>
  <c r="Y66" i="1"/>
  <c r="V66" i="1"/>
  <c r="U66" i="1"/>
  <c r="T66" i="1"/>
  <c r="S66" i="1"/>
  <c r="P66" i="1"/>
  <c r="O66" i="1"/>
  <c r="N66" i="1"/>
  <c r="M66" i="1"/>
  <c r="J66" i="1"/>
  <c r="I66" i="1"/>
  <c r="H66" i="1"/>
  <c r="G66" i="1"/>
  <c r="D66" i="1"/>
  <c r="C66" i="1"/>
  <c r="B66" i="1"/>
  <c r="A66" i="1"/>
  <c r="AB65" i="1"/>
  <c r="AA65" i="1"/>
  <c r="Z65" i="1"/>
  <c r="Y65" i="1"/>
  <c r="V65" i="1"/>
  <c r="U65" i="1"/>
  <c r="T65" i="1"/>
  <c r="S65" i="1"/>
  <c r="P65" i="1"/>
  <c r="O65" i="1"/>
  <c r="N65" i="1"/>
  <c r="M65" i="1"/>
  <c r="J65" i="1"/>
  <c r="I65" i="1"/>
  <c r="H65" i="1"/>
  <c r="G65" i="1"/>
  <c r="D65" i="1"/>
  <c r="C65" i="1"/>
  <c r="B65" i="1"/>
  <c r="A65" i="1"/>
  <c r="AB64" i="1"/>
  <c r="AA64" i="1"/>
  <c r="Z64" i="1"/>
  <c r="Y64" i="1"/>
  <c r="V64" i="1"/>
  <c r="U64" i="1"/>
  <c r="T64" i="1"/>
  <c r="S64" i="1"/>
  <c r="P64" i="1"/>
  <c r="O64" i="1"/>
  <c r="N64" i="1"/>
  <c r="M64" i="1"/>
  <c r="J64" i="1"/>
  <c r="I64" i="1"/>
  <c r="H64" i="1"/>
  <c r="G64" i="1"/>
  <c r="D64" i="1"/>
  <c r="C64" i="1"/>
  <c r="B64" i="1"/>
  <c r="A64" i="1"/>
  <c r="AB63" i="1"/>
  <c r="AA63" i="1"/>
  <c r="Z63" i="1"/>
  <c r="Y63" i="1"/>
  <c r="V63" i="1"/>
  <c r="U63" i="1"/>
  <c r="T63" i="1"/>
  <c r="S63" i="1"/>
  <c r="P63" i="1"/>
  <c r="O63" i="1"/>
  <c r="N63" i="1"/>
  <c r="M63" i="1"/>
  <c r="J63" i="1"/>
  <c r="I63" i="1"/>
  <c r="H63" i="1"/>
  <c r="G63" i="1"/>
  <c r="D63" i="1"/>
  <c r="C63" i="1"/>
  <c r="B63" i="1"/>
  <c r="A63" i="1"/>
  <c r="AB55" i="1"/>
  <c r="AA55" i="1"/>
  <c r="Z55" i="1"/>
  <c r="Y55" i="1"/>
  <c r="V55" i="1"/>
  <c r="U55" i="1"/>
  <c r="T55" i="1"/>
  <c r="S55" i="1"/>
  <c r="P55" i="1"/>
  <c r="O55" i="1"/>
  <c r="N55" i="1"/>
  <c r="M55" i="1"/>
  <c r="J55" i="1"/>
  <c r="I55" i="1"/>
  <c r="H55" i="1"/>
  <c r="G55" i="1"/>
  <c r="D55" i="1"/>
  <c r="C55" i="1"/>
  <c r="B55" i="1"/>
  <c r="A55" i="1"/>
  <c r="AB54" i="1"/>
  <c r="AA54" i="1"/>
  <c r="Z54" i="1"/>
  <c r="Y54" i="1"/>
  <c r="V54" i="1"/>
  <c r="U54" i="1"/>
  <c r="T54" i="1"/>
  <c r="S54" i="1"/>
  <c r="P54" i="1"/>
  <c r="O54" i="1"/>
  <c r="N54" i="1"/>
  <c r="M54" i="1"/>
  <c r="J54" i="1"/>
  <c r="I54" i="1"/>
  <c r="H54" i="1"/>
  <c r="G54" i="1"/>
  <c r="D54" i="1"/>
  <c r="C54" i="1"/>
  <c r="B54" i="1"/>
  <c r="A54" i="1"/>
  <c r="AB53" i="1"/>
  <c r="AA53" i="1"/>
  <c r="Z53" i="1"/>
  <c r="Y53" i="1"/>
  <c r="V53" i="1"/>
  <c r="U53" i="1"/>
  <c r="T53" i="1"/>
  <c r="S53" i="1"/>
  <c r="P53" i="1"/>
  <c r="O53" i="1"/>
  <c r="N53" i="1"/>
  <c r="M53" i="1"/>
  <c r="J53" i="1"/>
  <c r="I53" i="1"/>
  <c r="H53" i="1"/>
  <c r="G53" i="1"/>
  <c r="D53" i="1"/>
  <c r="C53" i="1"/>
  <c r="B53" i="1"/>
  <c r="A53" i="1"/>
  <c r="AB52" i="1"/>
  <c r="AA52" i="1"/>
  <c r="Z52" i="1"/>
  <c r="Y52" i="1"/>
  <c r="V52" i="1"/>
  <c r="U52" i="1"/>
  <c r="T52" i="1"/>
  <c r="S52" i="1"/>
  <c r="P52" i="1"/>
  <c r="O52" i="1"/>
  <c r="N52" i="1"/>
  <c r="M52" i="1"/>
  <c r="J52" i="1"/>
  <c r="I52" i="1"/>
  <c r="H52" i="1"/>
  <c r="G52" i="1"/>
  <c r="D52" i="1"/>
  <c r="C52" i="1"/>
  <c r="B52" i="1"/>
  <c r="A52" i="1"/>
  <c r="AB43" i="1"/>
  <c r="AA43" i="1"/>
  <c r="Z43" i="1"/>
  <c r="Y43" i="1"/>
  <c r="V43" i="1"/>
  <c r="U43" i="1"/>
  <c r="T43" i="1"/>
  <c r="S43" i="1"/>
  <c r="P43" i="1"/>
  <c r="O43" i="1"/>
  <c r="N43" i="1"/>
  <c r="M43" i="1"/>
  <c r="J43" i="1"/>
  <c r="I43" i="1"/>
  <c r="H43" i="1"/>
  <c r="G43" i="1"/>
  <c r="D43" i="1"/>
  <c r="C43" i="1"/>
  <c r="B43" i="1"/>
  <c r="A43" i="1"/>
  <c r="AB42" i="1"/>
  <c r="AA42" i="1"/>
  <c r="Z42" i="1"/>
  <c r="Y42" i="1"/>
  <c r="V42" i="1"/>
  <c r="U42" i="1"/>
  <c r="T42" i="1"/>
  <c r="S42" i="1"/>
  <c r="P42" i="1"/>
  <c r="O42" i="1"/>
  <c r="N42" i="1"/>
  <c r="M42" i="1"/>
  <c r="J42" i="1"/>
  <c r="I42" i="1"/>
  <c r="H42" i="1"/>
  <c r="G42" i="1"/>
  <c r="D42" i="1"/>
  <c r="C42" i="1"/>
  <c r="B42" i="1"/>
  <c r="A42" i="1"/>
  <c r="AB41" i="1"/>
  <c r="AA41" i="1"/>
  <c r="Z41" i="1"/>
  <c r="Y41" i="1"/>
  <c r="V41" i="1"/>
  <c r="U41" i="1"/>
  <c r="T41" i="1"/>
  <c r="S41" i="1"/>
  <c r="P41" i="1"/>
  <c r="O41" i="1"/>
  <c r="N41" i="1"/>
  <c r="M41" i="1"/>
  <c r="J41" i="1"/>
  <c r="I41" i="1"/>
  <c r="H41" i="1"/>
  <c r="G41" i="1"/>
  <c r="D41" i="1"/>
  <c r="C41" i="1"/>
  <c r="B41" i="1"/>
  <c r="A41" i="1"/>
  <c r="AB40" i="1"/>
  <c r="AA40" i="1"/>
  <c r="Z40" i="1"/>
  <c r="Y40" i="1"/>
  <c r="V40" i="1"/>
  <c r="U40" i="1"/>
  <c r="T40" i="1"/>
  <c r="S40" i="1"/>
  <c r="P40" i="1"/>
  <c r="O40" i="1"/>
  <c r="N40" i="1"/>
  <c r="M40" i="1"/>
  <c r="J40" i="1"/>
  <c r="I40" i="1"/>
  <c r="H40" i="1"/>
  <c r="G40" i="1"/>
  <c r="D40" i="1"/>
  <c r="C40" i="1"/>
  <c r="B40" i="1"/>
  <c r="A40" i="1"/>
  <c r="AB32" i="1"/>
  <c r="AA32" i="1"/>
  <c r="Z32" i="1"/>
  <c r="Y32" i="1"/>
  <c r="V32" i="1"/>
  <c r="U32" i="1"/>
  <c r="T32" i="1"/>
  <c r="S32" i="1"/>
  <c r="P32" i="1"/>
  <c r="O32" i="1"/>
  <c r="N32" i="1"/>
  <c r="M32" i="1"/>
  <c r="J32" i="1"/>
  <c r="I32" i="1"/>
  <c r="H32" i="1"/>
  <c r="G32" i="1"/>
  <c r="D32" i="1"/>
  <c r="C32" i="1"/>
  <c r="B32" i="1"/>
  <c r="A32" i="1"/>
  <c r="AB31" i="1"/>
  <c r="AA31" i="1"/>
  <c r="Z31" i="1"/>
  <c r="Y31" i="1"/>
  <c r="V31" i="1"/>
  <c r="U31" i="1"/>
  <c r="T31" i="1"/>
  <c r="S31" i="1"/>
  <c r="P31" i="1"/>
  <c r="O31" i="1"/>
  <c r="N31" i="1"/>
  <c r="M31" i="1"/>
  <c r="J31" i="1"/>
  <c r="I31" i="1"/>
  <c r="H31" i="1"/>
  <c r="G31" i="1"/>
  <c r="D31" i="1"/>
  <c r="C31" i="1"/>
  <c r="B31" i="1"/>
  <c r="A31" i="1"/>
  <c r="AB30" i="1"/>
  <c r="AA30" i="1"/>
  <c r="Z30" i="1"/>
  <c r="Y30" i="1"/>
  <c r="V30" i="1"/>
  <c r="U30" i="1"/>
  <c r="T30" i="1"/>
  <c r="S30" i="1"/>
  <c r="P30" i="1"/>
  <c r="O30" i="1"/>
  <c r="N30" i="1"/>
  <c r="M30" i="1"/>
  <c r="J30" i="1"/>
  <c r="I30" i="1"/>
  <c r="H30" i="1"/>
  <c r="G30" i="1"/>
  <c r="D30" i="1"/>
  <c r="C30" i="1"/>
  <c r="B30" i="1"/>
  <c r="A30" i="1"/>
  <c r="AB29" i="1"/>
  <c r="AA29" i="1"/>
  <c r="Z29" i="1"/>
  <c r="Y29" i="1"/>
  <c r="V29" i="1"/>
  <c r="U29" i="1"/>
  <c r="T29" i="1"/>
  <c r="S29" i="1"/>
  <c r="P29" i="1"/>
  <c r="O29" i="1"/>
  <c r="N29" i="1"/>
  <c r="M29" i="1"/>
  <c r="J29" i="1"/>
  <c r="I29" i="1"/>
  <c r="H29" i="1"/>
  <c r="G29" i="1"/>
  <c r="D29" i="1"/>
  <c r="C29" i="1"/>
  <c r="B29" i="1"/>
  <c r="A29" i="1"/>
  <c r="AB21" i="1"/>
  <c r="AA21" i="1"/>
  <c r="Z21" i="1"/>
  <c r="Y21" i="1"/>
  <c r="V21" i="1"/>
  <c r="U21" i="1"/>
  <c r="T21" i="1"/>
  <c r="S21" i="1"/>
  <c r="P21" i="1"/>
  <c r="O21" i="1"/>
  <c r="N21" i="1"/>
  <c r="M21" i="1"/>
  <c r="J21" i="1"/>
  <c r="I21" i="1"/>
  <c r="H21" i="1"/>
  <c r="G21" i="1"/>
  <c r="D21" i="1"/>
  <c r="C21" i="1"/>
  <c r="B21" i="1"/>
  <c r="A21" i="1"/>
  <c r="AB20" i="1"/>
  <c r="AA20" i="1"/>
  <c r="Z20" i="1"/>
  <c r="Y20" i="1"/>
  <c r="V20" i="1"/>
  <c r="U20" i="1"/>
  <c r="T20" i="1"/>
  <c r="S20" i="1"/>
  <c r="P20" i="1"/>
  <c r="O20" i="1"/>
  <c r="N20" i="1"/>
  <c r="M20" i="1"/>
  <c r="J20" i="1"/>
  <c r="I20" i="1"/>
  <c r="H20" i="1"/>
  <c r="G20" i="1"/>
  <c r="D20" i="1"/>
  <c r="C20" i="1"/>
  <c r="B20" i="1"/>
  <c r="A20" i="1"/>
  <c r="AB19" i="1"/>
  <c r="AA19" i="1"/>
  <c r="Z19" i="1"/>
  <c r="Y19" i="1"/>
  <c r="V19" i="1"/>
  <c r="U19" i="1"/>
  <c r="T19" i="1"/>
  <c r="S19" i="1"/>
  <c r="P19" i="1"/>
  <c r="O19" i="1"/>
  <c r="N19" i="1"/>
  <c r="M19" i="1"/>
  <c r="J19" i="1"/>
  <c r="I19" i="1"/>
  <c r="H19" i="1"/>
  <c r="G19" i="1"/>
  <c r="D19" i="1"/>
  <c r="C19" i="1"/>
  <c r="B19" i="1"/>
  <c r="A19" i="1"/>
  <c r="AB18" i="1"/>
  <c r="AA18" i="1"/>
  <c r="Z18" i="1"/>
  <c r="Y18" i="1"/>
  <c r="V18" i="1"/>
  <c r="U18" i="1"/>
  <c r="T18" i="1"/>
  <c r="S18" i="1"/>
  <c r="P18" i="1"/>
  <c r="O18" i="1"/>
  <c r="N18" i="1"/>
  <c r="M18" i="1"/>
  <c r="J18" i="1"/>
  <c r="I18" i="1"/>
  <c r="H18" i="1"/>
  <c r="G18" i="1"/>
  <c r="D18" i="1"/>
  <c r="C18" i="1"/>
  <c r="B18" i="1"/>
  <c r="A18" i="1"/>
  <c r="AB10" i="1"/>
  <c r="AA10" i="1"/>
  <c r="Z10" i="1"/>
  <c r="Y10" i="1"/>
  <c r="AB9" i="1"/>
  <c r="AA9" i="1"/>
  <c r="Z9" i="1"/>
  <c r="Y9" i="1"/>
  <c r="AB8" i="1"/>
  <c r="AA8" i="1"/>
  <c r="Z8" i="1"/>
  <c r="Y8" i="1"/>
  <c r="AB7" i="1"/>
  <c r="AA7" i="1"/>
  <c r="Z7" i="1"/>
  <c r="Y7" i="1"/>
  <c r="V10" i="1"/>
  <c r="U10" i="1"/>
  <c r="T10" i="1"/>
  <c r="S10" i="1"/>
  <c r="V9" i="1"/>
  <c r="U9" i="1"/>
  <c r="T9" i="1"/>
  <c r="S9" i="1"/>
  <c r="V8" i="1"/>
  <c r="U8" i="1"/>
  <c r="T8" i="1"/>
  <c r="S8" i="1"/>
  <c r="V7" i="1"/>
  <c r="U7" i="1"/>
  <c r="T7" i="1"/>
  <c r="S7" i="1"/>
  <c r="P10" i="1"/>
  <c r="O10" i="1"/>
  <c r="N10" i="1"/>
  <c r="M10" i="1"/>
  <c r="P9" i="1"/>
  <c r="O9" i="1"/>
  <c r="N9" i="1"/>
  <c r="M9" i="1"/>
  <c r="P8" i="1"/>
  <c r="O8" i="1"/>
  <c r="N8" i="1"/>
  <c r="M8" i="1"/>
  <c r="P7" i="1"/>
  <c r="O7" i="1"/>
  <c r="N7" i="1"/>
  <c r="M7" i="1"/>
  <c r="J10" i="1"/>
  <c r="I10" i="1"/>
  <c r="H10" i="1"/>
  <c r="G10" i="1"/>
  <c r="J9" i="1"/>
  <c r="I9" i="1"/>
  <c r="H9" i="1"/>
  <c r="G9" i="1"/>
  <c r="J8" i="1"/>
  <c r="I8" i="1"/>
  <c r="H8" i="1"/>
  <c r="G8" i="1"/>
  <c r="J7" i="1"/>
  <c r="I7" i="1"/>
  <c r="H7" i="1"/>
  <c r="G7" i="1"/>
  <c r="D10" i="1"/>
  <c r="A7" i="1"/>
  <c r="A8" i="1"/>
  <c r="B8" i="1"/>
  <c r="C8" i="1"/>
  <c r="D8" i="1"/>
  <c r="A9" i="1"/>
  <c r="B9" i="1"/>
  <c r="C9" i="1"/>
  <c r="D9" i="1"/>
  <c r="A10" i="1"/>
  <c r="B10" i="1"/>
  <c r="C10" i="1"/>
  <c r="B7" i="1"/>
  <c r="C7" i="1"/>
  <c r="D7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288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2"/>
  <sheetViews>
    <sheetView zoomScale="115" zoomScaleNormal="115" workbookViewId="0">
      <selection activeCell="AO18" sqref="AO18"/>
    </sheetView>
  </sheetViews>
  <sheetFormatPr defaultRowHeight="11.25" x14ac:dyDescent="0.2"/>
  <cols>
    <col min="1" max="125" width="3" customWidth="1"/>
  </cols>
  <sheetData>
    <row r="1" spans="1:28" x14ac:dyDescent="0.2">
      <c r="A1" s="5">
        <v>0</v>
      </c>
      <c r="B1" s="6">
        <v>1</v>
      </c>
      <c r="C1" s="6">
        <v>0</v>
      </c>
      <c r="D1" s="7">
        <v>0</v>
      </c>
      <c r="E1" s="14" t="str">
        <f>"{0x" &amp; DEC2HEX(A1+B1*2+C1*4+D1*8) &amp; ","</f>
        <v>{0x2,</v>
      </c>
      <c r="G1" s="5">
        <v>0</v>
      </c>
      <c r="H1" s="6">
        <v>0</v>
      </c>
      <c r="I1" s="6">
        <v>0</v>
      </c>
      <c r="J1" s="7">
        <v>0</v>
      </c>
      <c r="K1" s="14" t="str">
        <f>"{0x" &amp; DEC2HEX(G1+H1*2+I1*4+J1*8) &amp; ","</f>
        <v>{0x0,</v>
      </c>
      <c r="M1" s="2">
        <v>0</v>
      </c>
      <c r="N1" s="2">
        <v>0</v>
      </c>
      <c r="O1" s="2">
        <v>0</v>
      </c>
      <c r="P1" s="2">
        <v>0</v>
      </c>
      <c r="Q1" s="14" t="str">
        <f>"{0x" &amp; DEC2HEX(M1+N1*2+O1*4+P1*8) &amp; ","</f>
        <v>{0x0,</v>
      </c>
      <c r="S1" s="2">
        <v>0</v>
      </c>
      <c r="T1" s="2">
        <v>0</v>
      </c>
      <c r="U1" s="2">
        <v>0</v>
      </c>
      <c r="V1" s="2">
        <v>0</v>
      </c>
      <c r="W1" s="14" t="str">
        <f>"{0x" &amp; DEC2HEX(S1+T1*2+U1*4+V1*8) &amp; ","</f>
        <v>{0x0,</v>
      </c>
      <c r="Y1" s="2">
        <v>0</v>
      </c>
      <c r="Z1" s="2">
        <v>0</v>
      </c>
      <c r="AA1" s="2">
        <v>0</v>
      </c>
      <c r="AB1" s="2">
        <v>0</v>
      </c>
    </row>
    <row r="2" spans="1:28" x14ac:dyDescent="0.2">
      <c r="A2" s="8">
        <v>0</v>
      </c>
      <c r="B2" s="2">
        <v>1</v>
      </c>
      <c r="C2" s="2">
        <v>0</v>
      </c>
      <c r="D2" s="9">
        <v>0</v>
      </c>
      <c r="E2" s="14" t="str">
        <f>"0x" &amp; DEC2HEX(A2+B2*2+C2*4+D2*8) &amp; ","</f>
        <v>0x2,</v>
      </c>
      <c r="G2" s="8">
        <v>1</v>
      </c>
      <c r="H2" s="2">
        <v>1</v>
      </c>
      <c r="I2" s="2">
        <v>1</v>
      </c>
      <c r="J2" s="9">
        <v>1</v>
      </c>
      <c r="K2" s="14" t="str">
        <f>"0x" &amp; DEC2HEX(G2+H2*2+I2*4+J2*8) &amp; ","</f>
        <v>0xF,</v>
      </c>
      <c r="M2" s="2">
        <v>0</v>
      </c>
      <c r="N2" s="2">
        <v>0</v>
      </c>
      <c r="O2" s="2">
        <v>0</v>
      </c>
      <c r="P2" s="2">
        <v>0</v>
      </c>
      <c r="Q2" s="14" t="str">
        <f>"0x" &amp; DEC2HEX(M2+N2*2+O2*4+P2*8) &amp; ","</f>
        <v>0x0,</v>
      </c>
      <c r="S2" s="2">
        <v>0</v>
      </c>
      <c r="T2" s="2">
        <v>0</v>
      </c>
      <c r="U2" s="2">
        <v>0</v>
      </c>
      <c r="V2" s="2">
        <v>0</v>
      </c>
      <c r="W2" s="14" t="str">
        <f>"0x" &amp; DEC2HEX(S2+T2*2+U2*4+V2*8) &amp; ","</f>
        <v>0x0,</v>
      </c>
      <c r="Y2" s="2">
        <v>0</v>
      </c>
      <c r="Z2" s="2">
        <v>0</v>
      </c>
      <c r="AA2" s="2">
        <v>0</v>
      </c>
      <c r="AB2" s="2">
        <v>0</v>
      </c>
    </row>
    <row r="3" spans="1:28" x14ac:dyDescent="0.2">
      <c r="A3" s="8">
        <v>0</v>
      </c>
      <c r="B3" s="2">
        <v>1</v>
      </c>
      <c r="C3" s="2">
        <v>0</v>
      </c>
      <c r="D3" s="9">
        <v>0</v>
      </c>
      <c r="E3" s="14" t="str">
        <f t="shared" ref="E3" si="0">"0x" &amp; DEC2HEX(A3+B3*2+C3*4+D3*8) &amp; ","</f>
        <v>0x2,</v>
      </c>
      <c r="G3" s="8">
        <v>0</v>
      </c>
      <c r="H3" s="2">
        <v>0</v>
      </c>
      <c r="I3" s="2">
        <v>0</v>
      </c>
      <c r="J3" s="9">
        <v>0</v>
      </c>
      <c r="K3" s="14" t="str">
        <f t="shared" ref="K3" si="1">"0x" &amp; DEC2HEX(G3+H3*2+I3*4+J3*8) &amp; ","</f>
        <v>0x0,</v>
      </c>
      <c r="M3" s="2">
        <v>0</v>
      </c>
      <c r="N3" s="2">
        <v>0</v>
      </c>
      <c r="O3" s="2">
        <v>0</v>
      </c>
      <c r="P3" s="2">
        <v>0</v>
      </c>
      <c r="Q3" s="14" t="str">
        <f t="shared" ref="Q3" si="2">"0x" &amp; DEC2HEX(M3+N3*2+O3*4+P3*8) &amp; ","</f>
        <v>0x0,</v>
      </c>
      <c r="S3" s="2">
        <v>0</v>
      </c>
      <c r="T3" s="2">
        <v>0</v>
      </c>
      <c r="U3" s="2">
        <v>0</v>
      </c>
      <c r="V3" s="2">
        <v>0</v>
      </c>
      <c r="W3" s="14" t="str">
        <f t="shared" ref="W3" si="3">"0x" &amp; DEC2HEX(S3+T3*2+U3*4+V3*8) &amp; ","</f>
        <v>0x0,</v>
      </c>
      <c r="Y3" s="2">
        <v>0</v>
      </c>
      <c r="Z3" s="2">
        <v>0</v>
      </c>
      <c r="AA3" s="2">
        <v>0</v>
      </c>
      <c r="AB3" s="2">
        <v>0</v>
      </c>
    </row>
    <row r="4" spans="1:28" ht="12" thickBot="1" x14ac:dyDescent="0.25">
      <c r="A4" s="10">
        <v>0</v>
      </c>
      <c r="B4" s="11">
        <v>1</v>
      </c>
      <c r="C4" s="11">
        <v>0</v>
      </c>
      <c r="D4" s="12">
        <v>0</v>
      </c>
      <c r="E4" s="14" t="str">
        <f>"0x" &amp; DEC2HEX(A4+B4*2+C4*4+D4*8) &amp; "},"</f>
        <v>0x2},</v>
      </c>
      <c r="G4" s="10">
        <v>0</v>
      </c>
      <c r="H4" s="11">
        <v>0</v>
      </c>
      <c r="I4" s="11">
        <v>0</v>
      </c>
      <c r="J4" s="12">
        <v>0</v>
      </c>
      <c r="K4" s="14" t="str">
        <f>"0x" &amp; DEC2HEX(G4+H4*2+I4*4+J4*8) &amp; "},"</f>
        <v>0x0},</v>
      </c>
      <c r="M4" s="2">
        <v>0</v>
      </c>
      <c r="N4" s="2">
        <v>0</v>
      </c>
      <c r="O4" s="2">
        <v>0</v>
      </c>
      <c r="P4" s="2">
        <v>0</v>
      </c>
      <c r="Q4" s="14" t="str">
        <f>"0x" &amp; DEC2HEX(M4+N4*2+O4*4+P4*8) &amp; "},"</f>
        <v>0x0},</v>
      </c>
      <c r="S4" s="2">
        <v>0</v>
      </c>
      <c r="T4" s="2">
        <v>0</v>
      </c>
      <c r="U4" s="2">
        <v>0</v>
      </c>
      <c r="V4" s="2">
        <v>0</v>
      </c>
      <c r="W4" s="14" t="str">
        <f>"0x" &amp; DEC2HEX(S4+T4*2+U4*4+V4*8) &amp; "},"</f>
        <v>0x0},</v>
      </c>
      <c r="Y4" s="2">
        <v>0</v>
      </c>
      <c r="Z4" s="2">
        <v>0</v>
      </c>
      <c r="AA4" s="2">
        <v>0</v>
      </c>
      <c r="AB4" s="2">
        <v>0</v>
      </c>
    </row>
    <row r="5" spans="1:28" x14ac:dyDescent="0.2">
      <c r="A5" s="3" t="str">
        <f>"0x" &amp; DEC2HEX(A4+A3*2+A2*4+A1*8) &amp; ","</f>
        <v>0x0,</v>
      </c>
      <c r="B5" s="3" t="str">
        <f t="shared" ref="B5:D5" si="4">"0x" &amp; DEC2HEX(B4+B3*2+B2*4+B1*8) &amp; ","</f>
        <v>0xF,</v>
      </c>
      <c r="C5" s="3" t="str">
        <f t="shared" si="4"/>
        <v>0x0,</v>
      </c>
      <c r="D5" s="3" t="str">
        <f t="shared" si="4"/>
        <v>0x0,</v>
      </c>
      <c r="E5" s="3"/>
      <c r="G5" s="3" t="str">
        <f>"0x" &amp; DEC2HEX(G4+G3*2+G2*4+G1*8) &amp; ","</f>
        <v>0x4,</v>
      </c>
      <c r="H5" s="3" t="str">
        <f t="shared" ref="H5" si="5">"0x" &amp; DEC2HEX(H4+H3*2+H2*4+H1*8) &amp; ","</f>
        <v>0x4,</v>
      </c>
      <c r="I5" s="3" t="str">
        <f t="shared" ref="I5" si="6">"0x" &amp; DEC2HEX(I4+I3*2+I2*4+I1*8) &amp; ","</f>
        <v>0x4,</v>
      </c>
      <c r="J5" s="3" t="str">
        <f t="shared" ref="J5" si="7">"0x" &amp; DEC2HEX(J4+J3*2+J2*4+J1*8) &amp; ","</f>
        <v>0x4,</v>
      </c>
      <c r="K5" s="3"/>
      <c r="M5" s="3" t="str">
        <f>"0x" &amp; DEC2HEX(M4+M3*2+M2*4+M1*8) &amp; ","</f>
        <v>0x0,</v>
      </c>
      <c r="N5" s="3" t="str">
        <f t="shared" ref="N5" si="8">"0x" &amp; DEC2HEX(N4+N3*2+N2*4+N1*8) &amp; ","</f>
        <v>0x0,</v>
      </c>
      <c r="O5" s="3" t="str">
        <f t="shared" ref="O5" si="9">"0x" &amp; DEC2HEX(O4+O3*2+O2*4+O1*8) &amp; ","</f>
        <v>0x0,</v>
      </c>
      <c r="P5" s="3" t="str">
        <f t="shared" ref="P5" si="10">"0x" &amp; DEC2HEX(P4+P3*2+P2*4+P1*8) &amp; ","</f>
        <v>0x0,</v>
      </c>
      <c r="Q5" s="3"/>
      <c r="S5" s="3" t="str">
        <f>"0x" &amp; DEC2HEX(S4+S3*2+S2*4+S1*8) &amp; ","</f>
        <v>0x0,</v>
      </c>
      <c r="T5" s="3" t="str">
        <f t="shared" ref="T5" si="11">"0x" &amp; DEC2HEX(T4+T3*2+T2*4+T1*8) &amp; ","</f>
        <v>0x0,</v>
      </c>
      <c r="U5" s="3" t="str">
        <f t="shared" ref="U5" si="12">"0x" &amp; DEC2HEX(U4+U3*2+U2*4+U1*8) &amp; ","</f>
        <v>0x0,</v>
      </c>
      <c r="V5" s="3" t="str">
        <f t="shared" ref="V5" si="13">"0x" &amp; DEC2HEX(V4+V3*2+V2*4+V1*8) &amp; ","</f>
        <v>0x0,</v>
      </c>
      <c r="W5" s="3"/>
      <c r="Y5" s="3" t="str">
        <f>"0x" &amp; DEC2HEX(Y4+Y3*2+Y2*4+Y1*8) &amp; ","</f>
        <v>0x0,</v>
      </c>
      <c r="Z5" s="3" t="str">
        <f t="shared" ref="Z5" si="14">"0x" &amp; DEC2HEX(Z4+Z3*2+Z2*4+Z1*8) &amp; ","</f>
        <v>0x0,</v>
      </c>
      <c r="AA5" s="3" t="str">
        <f t="shared" ref="AA5" si="15">"0x" &amp; DEC2HEX(AA4+AA3*2+AA2*4+AA1*8) &amp; ","</f>
        <v>0x0,</v>
      </c>
      <c r="AB5" s="3" t="str">
        <f t="shared" ref="AB5" si="16">"0x" &amp; DEC2HEX(AB4+AB3*2+AB2*4+AB1*8) &amp; ","</f>
        <v>0x0,</v>
      </c>
    </row>
    <row r="7" spans="1:28" x14ac:dyDescent="0.2">
      <c r="A7" s="1" t="str">
        <f>"{"&amp;A1&amp;","</f>
        <v>{0,</v>
      </c>
      <c r="B7" s="1" t="str">
        <f t="shared" ref="B7:D9" si="17">B1&amp;","</f>
        <v>1,</v>
      </c>
      <c r="C7" s="1" t="str">
        <f t="shared" si="17"/>
        <v>0,</v>
      </c>
      <c r="D7" s="1" t="str">
        <f t="shared" si="17"/>
        <v>0,</v>
      </c>
      <c r="E7" s="13"/>
      <c r="G7" s="1" t="str">
        <f>"{"&amp;G1&amp;","</f>
        <v>{0,</v>
      </c>
      <c r="H7" s="1" t="str">
        <f t="shared" ref="H7:J9" si="18">H1&amp;","</f>
        <v>0,</v>
      </c>
      <c r="I7" s="1" t="str">
        <f t="shared" si="18"/>
        <v>0,</v>
      </c>
      <c r="J7" s="1" t="str">
        <f t="shared" si="18"/>
        <v>0,</v>
      </c>
      <c r="K7" s="13"/>
      <c r="M7" s="1" t="str">
        <f>"{"&amp;M1&amp;","</f>
        <v>{0,</v>
      </c>
      <c r="N7" s="1" t="str">
        <f t="shared" ref="N7:P9" si="19">N1&amp;","</f>
        <v>0,</v>
      </c>
      <c r="O7" s="1" t="str">
        <f t="shared" si="19"/>
        <v>0,</v>
      </c>
      <c r="P7" s="1" t="str">
        <f t="shared" si="19"/>
        <v>0,</v>
      </c>
      <c r="Q7" s="13"/>
      <c r="S7" s="1" t="str">
        <f>"{"&amp;S1&amp;","</f>
        <v>{0,</v>
      </c>
      <c r="T7" s="1" t="str">
        <f t="shared" ref="T7:V9" si="20">T1&amp;","</f>
        <v>0,</v>
      </c>
      <c r="U7" s="1" t="str">
        <f t="shared" si="20"/>
        <v>0,</v>
      </c>
      <c r="V7" s="1" t="str">
        <f t="shared" si="20"/>
        <v>0,</v>
      </c>
      <c r="W7" s="13"/>
      <c r="Y7" s="1" t="str">
        <f>"{"&amp;Y1&amp;","</f>
        <v>{0,</v>
      </c>
      <c r="Z7" s="1" t="str">
        <f t="shared" ref="Z7:AB9" si="21">Z1&amp;","</f>
        <v>0,</v>
      </c>
      <c r="AA7" s="1" t="str">
        <f t="shared" si="21"/>
        <v>0,</v>
      </c>
      <c r="AB7" s="1" t="str">
        <f t="shared" si="21"/>
        <v>0,</v>
      </c>
    </row>
    <row r="8" spans="1:28" x14ac:dyDescent="0.2">
      <c r="A8" s="1" t="str">
        <f>A2&amp;","</f>
        <v>0,</v>
      </c>
      <c r="B8" s="1" t="str">
        <f t="shared" si="17"/>
        <v>1,</v>
      </c>
      <c r="C8" s="1" t="str">
        <f t="shared" si="17"/>
        <v>0,</v>
      </c>
      <c r="D8" s="1" t="str">
        <f t="shared" si="17"/>
        <v>0,</v>
      </c>
      <c r="E8" s="13"/>
      <c r="G8" s="1" t="str">
        <f>G2&amp;","</f>
        <v>1,</v>
      </c>
      <c r="H8" s="1" t="str">
        <f t="shared" si="18"/>
        <v>1,</v>
      </c>
      <c r="I8" s="1" t="str">
        <f t="shared" si="18"/>
        <v>1,</v>
      </c>
      <c r="J8" s="1" t="str">
        <f t="shared" si="18"/>
        <v>1,</v>
      </c>
      <c r="K8" s="13"/>
      <c r="M8" s="1" t="str">
        <f>M2&amp;","</f>
        <v>0,</v>
      </c>
      <c r="N8" s="1" t="str">
        <f t="shared" si="19"/>
        <v>0,</v>
      </c>
      <c r="O8" s="1" t="str">
        <f t="shared" si="19"/>
        <v>0,</v>
      </c>
      <c r="P8" s="1" t="str">
        <f t="shared" si="19"/>
        <v>0,</v>
      </c>
      <c r="Q8" s="13"/>
      <c r="S8" s="1" t="str">
        <f>S2&amp;","</f>
        <v>0,</v>
      </c>
      <c r="T8" s="1" t="str">
        <f t="shared" si="20"/>
        <v>0,</v>
      </c>
      <c r="U8" s="1" t="str">
        <f t="shared" si="20"/>
        <v>0,</v>
      </c>
      <c r="V8" s="1" t="str">
        <f t="shared" si="20"/>
        <v>0,</v>
      </c>
      <c r="W8" s="13"/>
      <c r="Y8" s="1" t="str">
        <f>Y2&amp;","</f>
        <v>0,</v>
      </c>
      <c r="Z8" s="1" t="str">
        <f t="shared" si="21"/>
        <v>0,</v>
      </c>
      <c r="AA8" s="1" t="str">
        <f t="shared" si="21"/>
        <v>0,</v>
      </c>
      <c r="AB8" s="1" t="str">
        <f t="shared" si="21"/>
        <v>0,</v>
      </c>
    </row>
    <row r="9" spans="1:28" x14ac:dyDescent="0.2">
      <c r="A9" s="1" t="str">
        <f>A3&amp;","</f>
        <v>0,</v>
      </c>
      <c r="B9" s="1" t="str">
        <f t="shared" si="17"/>
        <v>1,</v>
      </c>
      <c r="C9" s="1" t="str">
        <f t="shared" si="17"/>
        <v>0,</v>
      </c>
      <c r="D9" s="1" t="str">
        <f t="shared" si="17"/>
        <v>0,</v>
      </c>
      <c r="E9" s="13"/>
      <c r="G9" s="1" t="str">
        <f>G3&amp;","</f>
        <v>0,</v>
      </c>
      <c r="H9" s="1" t="str">
        <f t="shared" si="18"/>
        <v>0,</v>
      </c>
      <c r="I9" s="1" t="str">
        <f t="shared" si="18"/>
        <v>0,</v>
      </c>
      <c r="J9" s="1" t="str">
        <f t="shared" si="18"/>
        <v>0,</v>
      </c>
      <c r="K9" s="13"/>
      <c r="M9" s="1" t="str">
        <f>M3&amp;","</f>
        <v>0,</v>
      </c>
      <c r="N9" s="1" t="str">
        <f t="shared" si="19"/>
        <v>0,</v>
      </c>
      <c r="O9" s="1" t="str">
        <f t="shared" si="19"/>
        <v>0,</v>
      </c>
      <c r="P9" s="1" t="str">
        <f t="shared" si="19"/>
        <v>0,</v>
      </c>
      <c r="Q9" s="13"/>
      <c r="S9" s="1" t="str">
        <f>S3&amp;","</f>
        <v>0,</v>
      </c>
      <c r="T9" s="1" t="str">
        <f t="shared" si="20"/>
        <v>0,</v>
      </c>
      <c r="U9" s="1" t="str">
        <f t="shared" si="20"/>
        <v>0,</v>
      </c>
      <c r="V9" s="1" t="str">
        <f t="shared" si="20"/>
        <v>0,</v>
      </c>
      <c r="W9" s="13"/>
      <c r="Y9" s="1" t="str">
        <f>Y3&amp;","</f>
        <v>0,</v>
      </c>
      <c r="Z9" s="1" t="str">
        <f t="shared" si="21"/>
        <v>0,</v>
      </c>
      <c r="AA9" s="1" t="str">
        <f t="shared" si="21"/>
        <v>0,</v>
      </c>
      <c r="AB9" s="1" t="str">
        <f t="shared" si="21"/>
        <v>0,</v>
      </c>
    </row>
    <row r="10" spans="1:28" x14ac:dyDescent="0.2">
      <c r="A10" s="1" t="str">
        <f>A4&amp;","</f>
        <v>0,</v>
      </c>
      <c r="B10" s="1" t="str">
        <f>B4&amp;","</f>
        <v>1,</v>
      </c>
      <c r="C10" s="1" t="str">
        <f>C4&amp;","</f>
        <v>0,</v>
      </c>
      <c r="D10" s="1" t="str">
        <f>D4&amp;"},"</f>
        <v>0},</v>
      </c>
      <c r="E10" s="13"/>
      <c r="G10" s="1" t="str">
        <f>G4&amp;","</f>
        <v>0,</v>
      </c>
      <c r="H10" s="1" t="str">
        <f>H4&amp;","</f>
        <v>0,</v>
      </c>
      <c r="I10" s="1" t="str">
        <f>I4&amp;","</f>
        <v>0,</v>
      </c>
      <c r="J10" s="1" t="str">
        <f>J4&amp;"},"</f>
        <v>0},</v>
      </c>
      <c r="K10" s="13"/>
      <c r="M10" s="1" t="str">
        <f>M4&amp;","</f>
        <v>0,</v>
      </c>
      <c r="N10" s="1" t="str">
        <f>N4&amp;","</f>
        <v>0,</v>
      </c>
      <c r="O10" s="1" t="str">
        <f>O4&amp;","</f>
        <v>0,</v>
      </c>
      <c r="P10" s="1" t="str">
        <f>P4&amp;"},"</f>
        <v>0},</v>
      </c>
      <c r="Q10" s="13"/>
      <c r="S10" s="1" t="str">
        <f>S4&amp;","</f>
        <v>0,</v>
      </c>
      <c r="T10" s="1" t="str">
        <f>T4&amp;","</f>
        <v>0,</v>
      </c>
      <c r="U10" s="1" t="str">
        <f>U4&amp;","</f>
        <v>0,</v>
      </c>
      <c r="V10" s="1" t="str">
        <f>V4&amp;"},"</f>
        <v>0},</v>
      </c>
      <c r="W10" s="13"/>
      <c r="Y10" s="1" t="str">
        <f>Y4&amp;","</f>
        <v>0,</v>
      </c>
      <c r="Z10" s="1" t="str">
        <f>Z4&amp;","</f>
        <v>0,</v>
      </c>
      <c r="AA10" s="1" t="str">
        <f>AA4&amp;","</f>
        <v>0,</v>
      </c>
      <c r="AB10" s="1" t="str">
        <f>AB4&amp;"},"</f>
        <v>0},</v>
      </c>
    </row>
    <row r="11" spans="1:28" ht="12" thickBot="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x14ac:dyDescent="0.2">
      <c r="A12" s="5">
        <v>0</v>
      </c>
      <c r="B12" s="6">
        <v>1</v>
      </c>
      <c r="C12" s="6">
        <v>1</v>
      </c>
      <c r="D12" s="7">
        <v>0</v>
      </c>
      <c r="E12" s="14" t="str">
        <f>"{0x" &amp; DEC2HEX(A12+B12*2+C12*4+D12*8) &amp; ","</f>
        <v>{0x6,</v>
      </c>
      <c r="G12" s="5">
        <v>0</v>
      </c>
      <c r="H12" s="6">
        <v>1</v>
      </c>
      <c r="I12" s="6">
        <v>0</v>
      </c>
      <c r="J12" s="7">
        <v>0</v>
      </c>
      <c r="K12" s="14" t="str">
        <f>"{0x" &amp; DEC2HEX(G12+H12*2+I12*4+J12*8) &amp; ","</f>
        <v>{0x2,</v>
      </c>
      <c r="M12" s="2">
        <v>0</v>
      </c>
      <c r="N12" s="2">
        <v>0</v>
      </c>
      <c r="O12" s="2">
        <v>0</v>
      </c>
      <c r="P12" s="2">
        <v>0</v>
      </c>
      <c r="Q12" s="14" t="str">
        <f>"{0x" &amp; DEC2HEX(M12+N12*2+O12*4+P12*8) &amp; ","</f>
        <v>{0x0,</v>
      </c>
      <c r="S12" s="2">
        <v>0</v>
      </c>
      <c r="T12" s="2">
        <v>0</v>
      </c>
      <c r="U12" s="2">
        <v>0</v>
      </c>
      <c r="V12" s="2">
        <v>0</v>
      </c>
      <c r="W12" s="14" t="str">
        <f>"{0x" &amp; DEC2HEX(S12+T12*2+U12*4+V12*8) &amp; ","</f>
        <v>{0x0,</v>
      </c>
      <c r="Y12" s="2">
        <v>0</v>
      </c>
      <c r="Z12" s="2">
        <v>0</v>
      </c>
      <c r="AA12" s="2">
        <v>0</v>
      </c>
      <c r="AB12" s="2">
        <v>0</v>
      </c>
    </row>
    <row r="13" spans="1:28" x14ac:dyDescent="0.2">
      <c r="A13" s="8">
        <v>1</v>
      </c>
      <c r="B13" s="2">
        <v>1</v>
      </c>
      <c r="C13" s="2">
        <v>0</v>
      </c>
      <c r="D13" s="9">
        <v>0</v>
      </c>
      <c r="E13" s="14" t="str">
        <f>"0x" &amp; DEC2HEX(A13+B13*2+C13*4+D13*8) &amp; ","</f>
        <v>0x3,</v>
      </c>
      <c r="G13" s="8">
        <v>0</v>
      </c>
      <c r="H13" s="2">
        <v>1</v>
      </c>
      <c r="I13" s="2">
        <v>1</v>
      </c>
      <c r="J13" s="9">
        <v>0</v>
      </c>
      <c r="K13" s="14" t="str">
        <f>"0x" &amp; DEC2HEX(G13+H13*2+I13*4+J13*8) &amp; ","</f>
        <v>0x6,</v>
      </c>
      <c r="M13" s="2">
        <v>0</v>
      </c>
      <c r="N13" s="2">
        <v>0</v>
      </c>
      <c r="O13" s="2">
        <v>0</v>
      </c>
      <c r="P13" s="2">
        <v>0</v>
      </c>
      <c r="Q13" s="14" t="str">
        <f>"0x" &amp; DEC2HEX(M13+N13*2+O13*4+P13*8) &amp; ","</f>
        <v>0x0,</v>
      </c>
      <c r="S13" s="2">
        <v>0</v>
      </c>
      <c r="T13" s="2">
        <v>0</v>
      </c>
      <c r="U13" s="2">
        <v>0</v>
      </c>
      <c r="V13" s="2">
        <v>0</v>
      </c>
      <c r="W13" s="14" t="str">
        <f>"0x" &amp; DEC2HEX(S13+T13*2+U13*4+V13*8) &amp; ","</f>
        <v>0x0,</v>
      </c>
      <c r="Y13" s="2">
        <v>0</v>
      </c>
      <c r="Z13" s="2">
        <v>0</v>
      </c>
      <c r="AA13" s="2">
        <v>0</v>
      </c>
      <c r="AB13" s="2">
        <v>0</v>
      </c>
    </row>
    <row r="14" spans="1:28" x14ac:dyDescent="0.2">
      <c r="A14" s="8">
        <v>0</v>
      </c>
      <c r="B14" s="2">
        <v>0</v>
      </c>
      <c r="C14" s="2">
        <v>0</v>
      </c>
      <c r="D14" s="9">
        <v>0</v>
      </c>
      <c r="E14" s="14" t="str">
        <f t="shared" ref="E14" si="22">"0x" &amp; DEC2HEX(A14+B14*2+C14*4+D14*8) &amp; ","</f>
        <v>0x0,</v>
      </c>
      <c r="G14" s="8">
        <v>0</v>
      </c>
      <c r="H14" s="2">
        <v>0</v>
      </c>
      <c r="I14" s="2">
        <v>1</v>
      </c>
      <c r="J14" s="9">
        <v>0</v>
      </c>
      <c r="K14" s="14" t="str">
        <f t="shared" ref="K14" si="23">"0x" &amp; DEC2HEX(G14+H14*2+I14*4+J14*8) &amp; ","</f>
        <v>0x4,</v>
      </c>
      <c r="M14" s="2">
        <v>0</v>
      </c>
      <c r="N14" s="2">
        <v>0</v>
      </c>
      <c r="O14" s="2">
        <v>0</v>
      </c>
      <c r="P14" s="2">
        <v>0</v>
      </c>
      <c r="Q14" s="14" t="str">
        <f t="shared" ref="Q14" si="24">"0x" &amp; DEC2HEX(M14+N14*2+O14*4+P14*8) &amp; ","</f>
        <v>0x0,</v>
      </c>
      <c r="S14" s="2">
        <v>0</v>
      </c>
      <c r="T14" s="2">
        <v>0</v>
      </c>
      <c r="U14" s="2">
        <v>0</v>
      </c>
      <c r="V14" s="2">
        <v>0</v>
      </c>
      <c r="W14" s="14" t="str">
        <f t="shared" ref="W14" si="25">"0x" &amp; DEC2HEX(S14+T14*2+U14*4+V14*8) &amp; ","</f>
        <v>0x0,</v>
      </c>
      <c r="Y14" s="2">
        <v>0</v>
      </c>
      <c r="Z14" s="2">
        <v>0</v>
      </c>
      <c r="AA14" s="2">
        <v>0</v>
      </c>
      <c r="AB14" s="2">
        <v>0</v>
      </c>
    </row>
    <row r="15" spans="1:28" ht="12" thickBot="1" x14ac:dyDescent="0.25">
      <c r="A15" s="10">
        <v>0</v>
      </c>
      <c r="B15" s="11">
        <v>0</v>
      </c>
      <c r="C15" s="11">
        <v>0</v>
      </c>
      <c r="D15" s="12">
        <v>0</v>
      </c>
      <c r="E15" s="14" t="str">
        <f>"0x" &amp; DEC2HEX(A15+B15*2+C15*4+D15*8) &amp; "},"</f>
        <v>0x0},</v>
      </c>
      <c r="G15" s="10">
        <v>0</v>
      </c>
      <c r="H15" s="11">
        <v>0</v>
      </c>
      <c r="I15" s="11">
        <v>0</v>
      </c>
      <c r="J15" s="12">
        <v>0</v>
      </c>
      <c r="K15" s="14" t="str">
        <f>"0x" &amp; DEC2HEX(G15+H15*2+I15*4+J15*8) &amp; "},"</f>
        <v>0x0},</v>
      </c>
      <c r="M15" s="2">
        <v>0</v>
      </c>
      <c r="N15" s="2">
        <v>0</v>
      </c>
      <c r="O15" s="2">
        <v>0</v>
      </c>
      <c r="P15" s="2">
        <v>0</v>
      </c>
      <c r="Q15" s="14" t="str">
        <f>"0x" &amp; DEC2HEX(M15+N15*2+O15*4+P15*8) &amp; "},"</f>
        <v>0x0},</v>
      </c>
      <c r="S15" s="2">
        <v>0</v>
      </c>
      <c r="T15" s="2">
        <v>0</v>
      </c>
      <c r="U15" s="2">
        <v>0</v>
      </c>
      <c r="V15" s="2">
        <v>0</v>
      </c>
      <c r="W15" s="14" t="str">
        <f>"0x" &amp; DEC2HEX(S15+T15*2+U15*4+V15*8) &amp; "},"</f>
        <v>0x0},</v>
      </c>
      <c r="Y15" s="2">
        <v>0</v>
      </c>
      <c r="Z15" s="2">
        <v>0</v>
      </c>
      <c r="AA15" s="2">
        <v>0</v>
      </c>
      <c r="AB15" s="2">
        <v>0</v>
      </c>
    </row>
    <row r="16" spans="1:28" x14ac:dyDescent="0.2">
      <c r="A16" s="3" t="str">
        <f>"0x" &amp; DEC2HEX(A15+A14*2+A13*4+A12*8) &amp; ","</f>
        <v>0x4,</v>
      </c>
      <c r="B16" s="3" t="str">
        <f t="shared" ref="B16" si="26">"0x" &amp; DEC2HEX(B15+B14*2+B13*4+B12*8) &amp; ","</f>
        <v>0xC,</v>
      </c>
      <c r="C16" s="3" t="str">
        <f t="shared" ref="C16" si="27">"0x" &amp; DEC2HEX(C15+C14*2+C13*4+C12*8) &amp; ","</f>
        <v>0x8,</v>
      </c>
      <c r="D16" s="3" t="str">
        <f t="shared" ref="D16" si="28">"0x" &amp; DEC2HEX(D15+D14*2+D13*4+D12*8) &amp; ","</f>
        <v>0x0,</v>
      </c>
      <c r="E16" s="3"/>
      <c r="G16" s="3" t="str">
        <f>"0x" &amp; DEC2HEX(G15+G14*2+G13*4+G12*8) &amp; ","</f>
        <v>0x0,</v>
      </c>
      <c r="H16" s="3" t="str">
        <f t="shared" ref="H16" si="29">"0x" &amp; DEC2HEX(H15+H14*2+H13*4+H12*8) &amp; ","</f>
        <v>0xC,</v>
      </c>
      <c r="I16" s="3" t="str">
        <f t="shared" ref="I16" si="30">"0x" &amp; DEC2HEX(I15+I14*2+I13*4+I12*8) &amp; ","</f>
        <v>0x6,</v>
      </c>
      <c r="J16" s="3" t="str">
        <f t="shared" ref="J16" si="31">"0x" &amp; DEC2HEX(J15+J14*2+J13*4+J12*8) &amp; ","</f>
        <v>0x0,</v>
      </c>
      <c r="K16" s="3"/>
      <c r="M16" s="3" t="str">
        <f>"0x" &amp; DEC2HEX(M15+M14*2+M13*4+M12*8) &amp; ","</f>
        <v>0x0,</v>
      </c>
      <c r="N16" s="3" t="str">
        <f t="shared" ref="N16" si="32">"0x" &amp; DEC2HEX(N15+N14*2+N13*4+N12*8) &amp; ","</f>
        <v>0x0,</v>
      </c>
      <c r="O16" s="3" t="str">
        <f t="shared" ref="O16" si="33">"0x" &amp; DEC2HEX(O15+O14*2+O13*4+O12*8) &amp; ","</f>
        <v>0x0,</v>
      </c>
      <c r="P16" s="3" t="str">
        <f t="shared" ref="P16" si="34">"0x" &amp; DEC2HEX(P15+P14*2+P13*4+P12*8) &amp; ","</f>
        <v>0x0,</v>
      </c>
      <c r="Q16" s="3"/>
      <c r="S16" s="3" t="str">
        <f>"0x" &amp; DEC2HEX(S15+S14*2+S13*4+S12*8) &amp; ","</f>
        <v>0x0,</v>
      </c>
      <c r="T16" s="3" t="str">
        <f t="shared" ref="T16" si="35">"0x" &amp; DEC2HEX(T15+T14*2+T13*4+T12*8) &amp; ","</f>
        <v>0x0,</v>
      </c>
      <c r="U16" s="3" t="str">
        <f t="shared" ref="U16" si="36">"0x" &amp; DEC2HEX(U15+U14*2+U13*4+U12*8) &amp; ","</f>
        <v>0x0,</v>
      </c>
      <c r="V16" s="3" t="str">
        <f t="shared" ref="V16" si="37">"0x" &amp; DEC2HEX(V15+V14*2+V13*4+V12*8) &amp; ","</f>
        <v>0x0,</v>
      </c>
      <c r="W16" s="3"/>
      <c r="Y16" s="3" t="str">
        <f>"0x" &amp; DEC2HEX(Y15+Y14*2+Y13*4+Y12*8) &amp; ","</f>
        <v>0x0,</v>
      </c>
      <c r="Z16" s="3" t="str">
        <f t="shared" ref="Z16" si="38">"0x" &amp; DEC2HEX(Z15+Z14*2+Z13*4+Z12*8) &amp; ","</f>
        <v>0x0,</v>
      </c>
      <c r="AA16" s="3" t="str">
        <f t="shared" ref="AA16" si="39">"0x" &amp; DEC2HEX(AA15+AA14*2+AA13*4+AA12*8) &amp; ","</f>
        <v>0x0,</v>
      </c>
      <c r="AB16" s="3" t="str">
        <f t="shared" ref="AB16" si="40">"0x" &amp; DEC2HEX(AB15+AB14*2+AB13*4+AB12*8) &amp; ","</f>
        <v>0x0,</v>
      </c>
    </row>
    <row r="18" spans="1:28" x14ac:dyDescent="0.2">
      <c r="A18" s="1" t="str">
        <f>"{"&amp;A12&amp;","</f>
        <v>{0,</v>
      </c>
      <c r="B18" s="1" t="str">
        <f t="shared" ref="B18:D20" si="41">B12&amp;","</f>
        <v>1,</v>
      </c>
      <c r="C18" s="1" t="str">
        <f t="shared" si="41"/>
        <v>1,</v>
      </c>
      <c r="D18" s="1" t="str">
        <f t="shared" si="41"/>
        <v>0,</v>
      </c>
      <c r="E18" s="13"/>
      <c r="G18" s="1" t="str">
        <f>"{"&amp;G12&amp;","</f>
        <v>{0,</v>
      </c>
      <c r="H18" s="1" t="str">
        <f t="shared" ref="H18:J20" si="42">H12&amp;","</f>
        <v>1,</v>
      </c>
      <c r="I18" s="1" t="str">
        <f t="shared" si="42"/>
        <v>0,</v>
      </c>
      <c r="J18" s="1" t="str">
        <f t="shared" si="42"/>
        <v>0,</v>
      </c>
      <c r="K18" s="13"/>
      <c r="M18" s="1" t="str">
        <f>"{"&amp;M12&amp;","</f>
        <v>{0,</v>
      </c>
      <c r="N18" s="1" t="str">
        <f t="shared" ref="N18:P20" si="43">N12&amp;","</f>
        <v>0,</v>
      </c>
      <c r="O18" s="1" t="str">
        <f t="shared" si="43"/>
        <v>0,</v>
      </c>
      <c r="P18" s="1" t="str">
        <f t="shared" si="43"/>
        <v>0,</v>
      </c>
      <c r="Q18" s="13"/>
      <c r="S18" s="1" t="str">
        <f>"{"&amp;S12&amp;","</f>
        <v>{0,</v>
      </c>
      <c r="T18" s="1" t="str">
        <f t="shared" ref="T18:V20" si="44">T12&amp;","</f>
        <v>0,</v>
      </c>
      <c r="U18" s="1" t="str">
        <f t="shared" si="44"/>
        <v>0,</v>
      </c>
      <c r="V18" s="1" t="str">
        <f t="shared" si="44"/>
        <v>0,</v>
      </c>
      <c r="W18" s="13"/>
      <c r="Y18" s="1" t="str">
        <f>"{"&amp;Y12&amp;","</f>
        <v>{0,</v>
      </c>
      <c r="Z18" s="1" t="str">
        <f t="shared" ref="Z18:AB20" si="45">Z12&amp;","</f>
        <v>0,</v>
      </c>
      <c r="AA18" s="1" t="str">
        <f t="shared" si="45"/>
        <v>0,</v>
      </c>
      <c r="AB18" s="1" t="str">
        <f t="shared" si="45"/>
        <v>0,</v>
      </c>
    </row>
    <row r="19" spans="1:28" x14ac:dyDescent="0.2">
      <c r="A19" s="1" t="str">
        <f>A13&amp;","</f>
        <v>1,</v>
      </c>
      <c r="B19" s="1" t="str">
        <f t="shared" si="41"/>
        <v>1,</v>
      </c>
      <c r="C19" s="1" t="str">
        <f t="shared" si="41"/>
        <v>0,</v>
      </c>
      <c r="D19" s="1" t="str">
        <f t="shared" si="41"/>
        <v>0,</v>
      </c>
      <c r="E19" s="13"/>
      <c r="G19" s="1" t="str">
        <f>G13&amp;","</f>
        <v>0,</v>
      </c>
      <c r="H19" s="1" t="str">
        <f t="shared" si="42"/>
        <v>1,</v>
      </c>
      <c r="I19" s="1" t="str">
        <f t="shared" si="42"/>
        <v>1,</v>
      </c>
      <c r="J19" s="1" t="str">
        <f t="shared" si="42"/>
        <v>0,</v>
      </c>
      <c r="K19" s="13"/>
      <c r="M19" s="1" t="str">
        <f>M13&amp;","</f>
        <v>0,</v>
      </c>
      <c r="N19" s="1" t="str">
        <f t="shared" si="43"/>
        <v>0,</v>
      </c>
      <c r="O19" s="1" t="str">
        <f t="shared" si="43"/>
        <v>0,</v>
      </c>
      <c r="P19" s="1" t="str">
        <f t="shared" si="43"/>
        <v>0,</v>
      </c>
      <c r="Q19" s="13"/>
      <c r="S19" s="1" t="str">
        <f>S13&amp;","</f>
        <v>0,</v>
      </c>
      <c r="T19" s="1" t="str">
        <f t="shared" si="44"/>
        <v>0,</v>
      </c>
      <c r="U19" s="1" t="str">
        <f t="shared" si="44"/>
        <v>0,</v>
      </c>
      <c r="V19" s="1" t="str">
        <f t="shared" si="44"/>
        <v>0,</v>
      </c>
      <c r="W19" s="13"/>
      <c r="Y19" s="1" t="str">
        <f>Y13&amp;","</f>
        <v>0,</v>
      </c>
      <c r="Z19" s="1" t="str">
        <f t="shared" si="45"/>
        <v>0,</v>
      </c>
      <c r="AA19" s="1" t="str">
        <f t="shared" si="45"/>
        <v>0,</v>
      </c>
      <c r="AB19" s="1" t="str">
        <f t="shared" si="45"/>
        <v>0,</v>
      </c>
    </row>
    <row r="20" spans="1:28" x14ac:dyDescent="0.2">
      <c r="A20" s="1" t="str">
        <f>A14&amp;","</f>
        <v>0,</v>
      </c>
      <c r="B20" s="1" t="str">
        <f t="shared" si="41"/>
        <v>0,</v>
      </c>
      <c r="C20" s="1" t="str">
        <f t="shared" si="41"/>
        <v>0,</v>
      </c>
      <c r="D20" s="1" t="str">
        <f t="shared" si="41"/>
        <v>0,</v>
      </c>
      <c r="E20" s="13"/>
      <c r="G20" s="1" t="str">
        <f>G14&amp;","</f>
        <v>0,</v>
      </c>
      <c r="H20" s="1" t="str">
        <f t="shared" si="42"/>
        <v>0,</v>
      </c>
      <c r="I20" s="1" t="str">
        <f t="shared" si="42"/>
        <v>1,</v>
      </c>
      <c r="J20" s="1" t="str">
        <f t="shared" si="42"/>
        <v>0,</v>
      </c>
      <c r="K20" s="13"/>
      <c r="M20" s="1" t="str">
        <f>M14&amp;","</f>
        <v>0,</v>
      </c>
      <c r="N20" s="1" t="str">
        <f t="shared" si="43"/>
        <v>0,</v>
      </c>
      <c r="O20" s="1" t="str">
        <f t="shared" si="43"/>
        <v>0,</v>
      </c>
      <c r="P20" s="1" t="str">
        <f t="shared" si="43"/>
        <v>0,</v>
      </c>
      <c r="Q20" s="13"/>
      <c r="S20" s="1" t="str">
        <f>S14&amp;","</f>
        <v>0,</v>
      </c>
      <c r="T20" s="1" t="str">
        <f t="shared" si="44"/>
        <v>0,</v>
      </c>
      <c r="U20" s="1" t="str">
        <f t="shared" si="44"/>
        <v>0,</v>
      </c>
      <c r="V20" s="1" t="str">
        <f t="shared" si="44"/>
        <v>0,</v>
      </c>
      <c r="W20" s="13"/>
      <c r="Y20" s="1" t="str">
        <f>Y14&amp;","</f>
        <v>0,</v>
      </c>
      <c r="Z20" s="1" t="str">
        <f t="shared" si="45"/>
        <v>0,</v>
      </c>
      <c r="AA20" s="1" t="str">
        <f t="shared" si="45"/>
        <v>0,</v>
      </c>
      <c r="AB20" s="1" t="str">
        <f t="shared" si="45"/>
        <v>0,</v>
      </c>
    </row>
    <row r="21" spans="1:28" x14ac:dyDescent="0.2">
      <c r="A21" s="1" t="str">
        <f>A15&amp;","</f>
        <v>0,</v>
      </c>
      <c r="B21" s="1" t="str">
        <f>B15&amp;","</f>
        <v>0,</v>
      </c>
      <c r="C21" s="1" t="str">
        <f>C15&amp;","</f>
        <v>0,</v>
      </c>
      <c r="D21" s="1" t="str">
        <f>D15&amp;"},"</f>
        <v>0},</v>
      </c>
      <c r="E21" s="13"/>
      <c r="G21" s="1" t="str">
        <f>G15&amp;","</f>
        <v>0,</v>
      </c>
      <c r="H21" s="1" t="str">
        <f>H15&amp;","</f>
        <v>0,</v>
      </c>
      <c r="I21" s="1" t="str">
        <f>I15&amp;","</f>
        <v>0,</v>
      </c>
      <c r="J21" s="1" t="str">
        <f>J15&amp;"},"</f>
        <v>0},</v>
      </c>
      <c r="K21" s="13"/>
      <c r="M21" s="1" t="str">
        <f>M15&amp;","</f>
        <v>0,</v>
      </c>
      <c r="N21" s="1" t="str">
        <f>N15&amp;","</f>
        <v>0,</v>
      </c>
      <c r="O21" s="1" t="str">
        <f>O15&amp;","</f>
        <v>0,</v>
      </c>
      <c r="P21" s="1" t="str">
        <f>P15&amp;"},"</f>
        <v>0},</v>
      </c>
      <c r="Q21" s="13"/>
      <c r="S21" s="1" t="str">
        <f>S15&amp;","</f>
        <v>0,</v>
      </c>
      <c r="T21" s="1" t="str">
        <f>T15&amp;","</f>
        <v>0,</v>
      </c>
      <c r="U21" s="1" t="str">
        <f>U15&amp;","</f>
        <v>0,</v>
      </c>
      <c r="V21" s="1" t="str">
        <f>V15&amp;"},"</f>
        <v>0},</v>
      </c>
      <c r="W21" s="13"/>
      <c r="Y21" s="1" t="str">
        <f>Y15&amp;","</f>
        <v>0,</v>
      </c>
      <c r="Z21" s="1" t="str">
        <f>Z15&amp;","</f>
        <v>0,</v>
      </c>
      <c r="AA21" s="1" t="str">
        <f>AA15&amp;","</f>
        <v>0,</v>
      </c>
      <c r="AB21" s="1" t="str">
        <f>AB15&amp;"},"</f>
        <v>0},</v>
      </c>
    </row>
    <row r="22" spans="1:28" ht="12" thickBo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x14ac:dyDescent="0.2">
      <c r="A23" s="5">
        <v>1</v>
      </c>
      <c r="B23" s="6">
        <v>1</v>
      </c>
      <c r="C23" s="6">
        <v>0</v>
      </c>
      <c r="D23" s="7">
        <v>0</v>
      </c>
      <c r="E23" s="14" t="str">
        <f>"{0x" &amp; DEC2HEX(A23+B23*2+C23*4+D23*8) &amp; ","</f>
        <v>{0x3,</v>
      </c>
      <c r="G23" s="5">
        <v>0</v>
      </c>
      <c r="H23" s="6">
        <v>1</v>
      </c>
      <c r="I23" s="6">
        <v>0</v>
      </c>
      <c r="J23" s="7">
        <v>0</v>
      </c>
      <c r="K23" s="14" t="str">
        <f>"{0x" &amp; DEC2HEX(G23+H23*2+I23*4+J23*8) &amp; ","</f>
        <v>{0x2,</v>
      </c>
      <c r="M23" s="2">
        <v>0</v>
      </c>
      <c r="N23" s="2">
        <v>0</v>
      </c>
      <c r="O23" s="2">
        <v>0</v>
      </c>
      <c r="P23" s="2">
        <v>0</v>
      </c>
      <c r="Q23" s="14" t="str">
        <f>"{0x" &amp; DEC2HEX(M23+N23*2+O23*4+P23*8) &amp; ","</f>
        <v>{0x0,</v>
      </c>
      <c r="S23" s="2">
        <v>0</v>
      </c>
      <c r="T23" s="2">
        <v>0</v>
      </c>
      <c r="U23" s="2">
        <v>0</v>
      </c>
      <c r="V23" s="2">
        <v>0</v>
      </c>
      <c r="W23" s="14" t="str">
        <f>"{0x" &amp; DEC2HEX(S23+T23*2+U23*4+V23*8) &amp; ","</f>
        <v>{0x0,</v>
      </c>
      <c r="Y23" s="2">
        <v>0</v>
      </c>
      <c r="Z23" s="2">
        <v>0</v>
      </c>
      <c r="AA23" s="2">
        <v>0</v>
      </c>
      <c r="AB23" s="2">
        <v>0</v>
      </c>
    </row>
    <row r="24" spans="1:28" x14ac:dyDescent="0.2">
      <c r="A24" s="8">
        <v>0</v>
      </c>
      <c r="B24" s="2">
        <v>1</v>
      </c>
      <c r="C24" s="2">
        <v>1</v>
      </c>
      <c r="D24" s="9">
        <v>0</v>
      </c>
      <c r="E24" s="14" t="str">
        <f>"0x" &amp; DEC2HEX(A24+B24*2+C24*4+D24*8) &amp; ","</f>
        <v>0x6,</v>
      </c>
      <c r="G24" s="8">
        <v>1</v>
      </c>
      <c r="H24" s="2">
        <v>1</v>
      </c>
      <c r="I24" s="2">
        <v>0</v>
      </c>
      <c r="J24" s="9">
        <v>0</v>
      </c>
      <c r="K24" s="14" t="str">
        <f>"0x" &amp; DEC2HEX(G24+H24*2+I24*4+J24*8) &amp; ","</f>
        <v>0x3,</v>
      </c>
      <c r="M24" s="2">
        <v>0</v>
      </c>
      <c r="N24" s="2">
        <v>0</v>
      </c>
      <c r="O24" s="2">
        <v>0</v>
      </c>
      <c r="P24" s="2">
        <v>0</v>
      </c>
      <c r="Q24" s="14" t="str">
        <f>"0x" &amp; DEC2HEX(M24+N24*2+O24*4+P24*8) &amp; ","</f>
        <v>0x0,</v>
      </c>
      <c r="S24" s="2">
        <v>0</v>
      </c>
      <c r="T24" s="2">
        <v>0</v>
      </c>
      <c r="U24" s="2">
        <v>0</v>
      </c>
      <c r="V24" s="2">
        <v>0</v>
      </c>
      <c r="W24" s="14" t="str">
        <f>"0x" &amp; DEC2HEX(S24+T24*2+U24*4+V24*8) &amp; ","</f>
        <v>0x0,</v>
      </c>
      <c r="Y24" s="2">
        <v>0</v>
      </c>
      <c r="Z24" s="2">
        <v>0</v>
      </c>
      <c r="AA24" s="2">
        <v>0</v>
      </c>
      <c r="AB24" s="2">
        <v>0</v>
      </c>
    </row>
    <row r="25" spans="1:28" x14ac:dyDescent="0.2">
      <c r="A25" s="8">
        <v>0</v>
      </c>
      <c r="B25" s="2">
        <v>0</v>
      </c>
      <c r="C25" s="2">
        <v>0</v>
      </c>
      <c r="D25" s="9">
        <v>0</v>
      </c>
      <c r="E25" s="14" t="str">
        <f t="shared" ref="E25" si="46">"0x" &amp; DEC2HEX(A25+B25*2+C25*4+D25*8) &amp; ","</f>
        <v>0x0,</v>
      </c>
      <c r="G25" s="8">
        <v>1</v>
      </c>
      <c r="H25" s="2">
        <v>0</v>
      </c>
      <c r="I25" s="2">
        <v>0</v>
      </c>
      <c r="J25" s="9">
        <v>0</v>
      </c>
      <c r="K25" s="14" t="str">
        <f t="shared" ref="K25" si="47">"0x" &amp; DEC2HEX(G25+H25*2+I25*4+J25*8) &amp; ","</f>
        <v>0x1,</v>
      </c>
      <c r="M25" s="2">
        <v>0</v>
      </c>
      <c r="N25" s="2">
        <v>0</v>
      </c>
      <c r="O25" s="2">
        <v>0</v>
      </c>
      <c r="P25" s="2">
        <v>0</v>
      </c>
      <c r="Q25" s="14" t="str">
        <f t="shared" ref="Q25" si="48">"0x" &amp; DEC2HEX(M25+N25*2+O25*4+P25*8) &amp; ","</f>
        <v>0x0,</v>
      </c>
      <c r="S25" s="2">
        <v>0</v>
      </c>
      <c r="T25" s="2">
        <v>0</v>
      </c>
      <c r="U25" s="2">
        <v>0</v>
      </c>
      <c r="V25" s="2">
        <v>0</v>
      </c>
      <c r="W25" s="14" t="str">
        <f t="shared" ref="W25" si="49">"0x" &amp; DEC2HEX(S25+T25*2+U25*4+V25*8) &amp; ","</f>
        <v>0x0,</v>
      </c>
      <c r="Y25" s="2">
        <v>0</v>
      </c>
      <c r="Z25" s="2">
        <v>0</v>
      </c>
      <c r="AA25" s="2">
        <v>0</v>
      </c>
      <c r="AB25" s="2">
        <v>0</v>
      </c>
    </row>
    <row r="26" spans="1:28" ht="12" thickBot="1" x14ac:dyDescent="0.25">
      <c r="A26" s="10">
        <v>0</v>
      </c>
      <c r="B26" s="11">
        <v>0</v>
      </c>
      <c r="C26" s="11">
        <v>0</v>
      </c>
      <c r="D26" s="12">
        <v>0</v>
      </c>
      <c r="E26" s="14" t="str">
        <f>"0x" &amp; DEC2HEX(A26+B26*2+C26*4+D26*8) &amp; "},"</f>
        <v>0x0},</v>
      </c>
      <c r="G26" s="10">
        <v>0</v>
      </c>
      <c r="H26" s="11">
        <v>0</v>
      </c>
      <c r="I26" s="11">
        <v>0</v>
      </c>
      <c r="J26" s="12">
        <v>0</v>
      </c>
      <c r="K26" s="14" t="str">
        <f>"0x" &amp; DEC2HEX(G26+H26*2+I26*4+J26*8) &amp; "},"</f>
        <v>0x0},</v>
      </c>
      <c r="M26" s="2">
        <v>0</v>
      </c>
      <c r="N26" s="2">
        <v>0</v>
      </c>
      <c r="O26" s="2">
        <v>0</v>
      </c>
      <c r="P26" s="2">
        <v>0</v>
      </c>
      <c r="Q26" s="14" t="str">
        <f>"0x" &amp; DEC2HEX(M26+N26*2+O26*4+P26*8) &amp; "},"</f>
        <v>0x0},</v>
      </c>
      <c r="S26" s="2">
        <v>0</v>
      </c>
      <c r="T26" s="2">
        <v>0</v>
      </c>
      <c r="U26" s="2">
        <v>0</v>
      </c>
      <c r="V26" s="2">
        <v>0</v>
      </c>
      <c r="W26" s="14" t="str">
        <f>"0x" &amp; DEC2HEX(S26+T26*2+U26*4+V26*8) &amp; "},"</f>
        <v>0x0},</v>
      </c>
      <c r="Y26" s="2">
        <v>0</v>
      </c>
      <c r="Z26" s="2">
        <v>0</v>
      </c>
      <c r="AA26" s="2">
        <v>0</v>
      </c>
      <c r="AB26" s="2">
        <v>0</v>
      </c>
    </row>
    <row r="27" spans="1:28" x14ac:dyDescent="0.2">
      <c r="A27" s="3" t="str">
        <f>"0x" &amp; DEC2HEX(A26+A25*2+A24*4+A23*8) &amp; ","</f>
        <v>0x8,</v>
      </c>
      <c r="B27" s="3" t="str">
        <f t="shared" ref="B27" si="50">"0x" &amp; DEC2HEX(B26+B25*2+B24*4+B23*8) &amp; ","</f>
        <v>0xC,</v>
      </c>
      <c r="C27" s="3" t="str">
        <f t="shared" ref="C27" si="51">"0x" &amp; DEC2HEX(C26+C25*2+C24*4+C23*8) &amp; ","</f>
        <v>0x4,</v>
      </c>
      <c r="D27" s="3" t="str">
        <f t="shared" ref="D27" si="52">"0x" &amp; DEC2HEX(D26+D25*2+D24*4+D23*8) &amp; ","</f>
        <v>0x0,</v>
      </c>
      <c r="E27" s="3"/>
      <c r="G27" s="3" t="str">
        <f>"0x" &amp; DEC2HEX(G26+G25*2+G24*4+G23*8) &amp; ","</f>
        <v>0x6,</v>
      </c>
      <c r="H27" s="3" t="str">
        <f t="shared" ref="H27" si="53">"0x" &amp; DEC2HEX(H26+H25*2+H24*4+H23*8) &amp; ","</f>
        <v>0xC,</v>
      </c>
      <c r="I27" s="3" t="str">
        <f t="shared" ref="I27" si="54">"0x" &amp; DEC2HEX(I26+I25*2+I24*4+I23*8) &amp; ","</f>
        <v>0x0,</v>
      </c>
      <c r="J27" s="3" t="str">
        <f t="shared" ref="J27" si="55">"0x" &amp; DEC2HEX(J26+J25*2+J24*4+J23*8) &amp; ","</f>
        <v>0x0,</v>
      </c>
      <c r="K27" s="3"/>
      <c r="M27" s="3" t="str">
        <f>"0x" &amp; DEC2HEX(M26+M25*2+M24*4+M23*8) &amp; ","</f>
        <v>0x0,</v>
      </c>
      <c r="N27" s="3" t="str">
        <f t="shared" ref="N27" si="56">"0x" &amp; DEC2HEX(N26+N25*2+N24*4+N23*8) &amp; ","</f>
        <v>0x0,</v>
      </c>
      <c r="O27" s="3" t="str">
        <f t="shared" ref="O27" si="57">"0x" &amp; DEC2HEX(O26+O25*2+O24*4+O23*8) &amp; ","</f>
        <v>0x0,</v>
      </c>
      <c r="P27" s="3" t="str">
        <f t="shared" ref="P27" si="58">"0x" &amp; DEC2HEX(P26+P25*2+P24*4+P23*8) &amp; ","</f>
        <v>0x0,</v>
      </c>
      <c r="Q27" s="3"/>
      <c r="S27" s="3" t="str">
        <f>"0x" &amp; DEC2HEX(S26+S25*2+S24*4+S23*8) &amp; ","</f>
        <v>0x0,</v>
      </c>
      <c r="T27" s="3" t="str">
        <f t="shared" ref="T27" si="59">"0x" &amp; DEC2HEX(T26+T25*2+T24*4+T23*8) &amp; ","</f>
        <v>0x0,</v>
      </c>
      <c r="U27" s="3" t="str">
        <f t="shared" ref="U27" si="60">"0x" &amp; DEC2HEX(U26+U25*2+U24*4+U23*8) &amp; ","</f>
        <v>0x0,</v>
      </c>
      <c r="V27" s="3" t="str">
        <f t="shared" ref="V27" si="61">"0x" &amp; DEC2HEX(V26+V25*2+V24*4+V23*8) &amp; ","</f>
        <v>0x0,</v>
      </c>
      <c r="W27" s="3"/>
      <c r="Y27" s="3" t="str">
        <f>"0x" &amp; DEC2HEX(Y26+Y25*2+Y24*4+Y23*8) &amp; ","</f>
        <v>0x0,</v>
      </c>
      <c r="Z27" s="3" t="str">
        <f t="shared" ref="Z27" si="62">"0x" &amp; DEC2HEX(Z26+Z25*2+Z24*4+Z23*8) &amp; ","</f>
        <v>0x0,</v>
      </c>
      <c r="AA27" s="3" t="str">
        <f t="shared" ref="AA27" si="63">"0x" &amp; DEC2HEX(AA26+AA25*2+AA24*4+AA23*8) &amp; ","</f>
        <v>0x0,</v>
      </c>
      <c r="AB27" s="3" t="str">
        <f t="shared" ref="AB27" si="64">"0x" &amp; DEC2HEX(AB26+AB25*2+AB24*4+AB23*8) &amp; ","</f>
        <v>0x0,</v>
      </c>
    </row>
    <row r="29" spans="1:28" x14ac:dyDescent="0.2">
      <c r="A29" s="1" t="str">
        <f>"{"&amp;A23&amp;","</f>
        <v>{1,</v>
      </c>
      <c r="B29" s="1" t="str">
        <f t="shared" ref="B29:D31" si="65">B23&amp;","</f>
        <v>1,</v>
      </c>
      <c r="C29" s="1" t="str">
        <f t="shared" si="65"/>
        <v>0,</v>
      </c>
      <c r="D29" s="1" t="str">
        <f t="shared" si="65"/>
        <v>0,</v>
      </c>
      <c r="E29" s="13"/>
      <c r="G29" s="1" t="str">
        <f>"{"&amp;G23&amp;","</f>
        <v>{0,</v>
      </c>
      <c r="H29" s="1" t="str">
        <f t="shared" ref="H29:J31" si="66">H23&amp;","</f>
        <v>1,</v>
      </c>
      <c r="I29" s="1" t="str">
        <f t="shared" si="66"/>
        <v>0,</v>
      </c>
      <c r="J29" s="1" t="str">
        <f t="shared" si="66"/>
        <v>0,</v>
      </c>
      <c r="K29" s="13"/>
      <c r="M29" s="1" t="str">
        <f>"{"&amp;M23&amp;","</f>
        <v>{0,</v>
      </c>
      <c r="N29" s="1" t="str">
        <f t="shared" ref="N29:P31" si="67">N23&amp;","</f>
        <v>0,</v>
      </c>
      <c r="O29" s="1" t="str">
        <f t="shared" si="67"/>
        <v>0,</v>
      </c>
      <c r="P29" s="1" t="str">
        <f t="shared" si="67"/>
        <v>0,</v>
      </c>
      <c r="Q29" s="13"/>
      <c r="S29" s="1" t="str">
        <f>"{"&amp;S23&amp;","</f>
        <v>{0,</v>
      </c>
      <c r="T29" s="1" t="str">
        <f t="shared" ref="T29:V31" si="68">T23&amp;","</f>
        <v>0,</v>
      </c>
      <c r="U29" s="1" t="str">
        <f t="shared" si="68"/>
        <v>0,</v>
      </c>
      <c r="V29" s="1" t="str">
        <f t="shared" si="68"/>
        <v>0,</v>
      </c>
      <c r="W29" s="13"/>
      <c r="Y29" s="1" t="str">
        <f>"{"&amp;Y23&amp;","</f>
        <v>{0,</v>
      </c>
      <c r="Z29" s="1" t="str">
        <f t="shared" ref="Z29:AB31" si="69">Z23&amp;","</f>
        <v>0,</v>
      </c>
      <c r="AA29" s="1" t="str">
        <f t="shared" si="69"/>
        <v>0,</v>
      </c>
      <c r="AB29" s="1" t="str">
        <f t="shared" si="69"/>
        <v>0,</v>
      </c>
    </row>
    <row r="30" spans="1:28" x14ac:dyDescent="0.2">
      <c r="A30" s="1" t="str">
        <f>A24&amp;","</f>
        <v>0,</v>
      </c>
      <c r="B30" s="1" t="str">
        <f t="shared" si="65"/>
        <v>1,</v>
      </c>
      <c r="C30" s="1" t="str">
        <f t="shared" si="65"/>
        <v>1,</v>
      </c>
      <c r="D30" s="1" t="str">
        <f t="shared" si="65"/>
        <v>0,</v>
      </c>
      <c r="E30" s="13"/>
      <c r="G30" s="1" t="str">
        <f>G24&amp;","</f>
        <v>1,</v>
      </c>
      <c r="H30" s="1" t="str">
        <f t="shared" si="66"/>
        <v>1,</v>
      </c>
      <c r="I30" s="1" t="str">
        <f t="shared" si="66"/>
        <v>0,</v>
      </c>
      <c r="J30" s="1" t="str">
        <f t="shared" si="66"/>
        <v>0,</v>
      </c>
      <c r="K30" s="13"/>
      <c r="M30" s="1" t="str">
        <f>M24&amp;","</f>
        <v>0,</v>
      </c>
      <c r="N30" s="1" t="str">
        <f t="shared" si="67"/>
        <v>0,</v>
      </c>
      <c r="O30" s="1" t="str">
        <f t="shared" si="67"/>
        <v>0,</v>
      </c>
      <c r="P30" s="1" t="str">
        <f t="shared" si="67"/>
        <v>0,</v>
      </c>
      <c r="Q30" s="13"/>
      <c r="S30" s="1" t="str">
        <f>S24&amp;","</f>
        <v>0,</v>
      </c>
      <c r="T30" s="1" t="str">
        <f t="shared" si="68"/>
        <v>0,</v>
      </c>
      <c r="U30" s="1" t="str">
        <f t="shared" si="68"/>
        <v>0,</v>
      </c>
      <c r="V30" s="1" t="str">
        <f t="shared" si="68"/>
        <v>0,</v>
      </c>
      <c r="W30" s="13"/>
      <c r="Y30" s="1" t="str">
        <f>Y24&amp;","</f>
        <v>0,</v>
      </c>
      <c r="Z30" s="1" t="str">
        <f t="shared" si="69"/>
        <v>0,</v>
      </c>
      <c r="AA30" s="1" t="str">
        <f t="shared" si="69"/>
        <v>0,</v>
      </c>
      <c r="AB30" s="1" t="str">
        <f t="shared" si="69"/>
        <v>0,</v>
      </c>
    </row>
    <row r="31" spans="1:28" x14ac:dyDescent="0.2">
      <c r="A31" s="1" t="str">
        <f>A25&amp;","</f>
        <v>0,</v>
      </c>
      <c r="B31" s="1" t="str">
        <f t="shared" si="65"/>
        <v>0,</v>
      </c>
      <c r="C31" s="1" t="str">
        <f t="shared" si="65"/>
        <v>0,</v>
      </c>
      <c r="D31" s="1" t="str">
        <f t="shared" si="65"/>
        <v>0,</v>
      </c>
      <c r="E31" s="13"/>
      <c r="G31" s="1" t="str">
        <f>G25&amp;","</f>
        <v>1,</v>
      </c>
      <c r="H31" s="1" t="str">
        <f t="shared" si="66"/>
        <v>0,</v>
      </c>
      <c r="I31" s="1" t="str">
        <f t="shared" si="66"/>
        <v>0,</v>
      </c>
      <c r="J31" s="1" t="str">
        <f t="shared" si="66"/>
        <v>0,</v>
      </c>
      <c r="K31" s="13"/>
      <c r="M31" s="1" t="str">
        <f>M25&amp;","</f>
        <v>0,</v>
      </c>
      <c r="N31" s="1" t="str">
        <f t="shared" si="67"/>
        <v>0,</v>
      </c>
      <c r="O31" s="1" t="str">
        <f t="shared" si="67"/>
        <v>0,</v>
      </c>
      <c r="P31" s="1" t="str">
        <f t="shared" si="67"/>
        <v>0,</v>
      </c>
      <c r="Q31" s="13"/>
      <c r="S31" s="1" t="str">
        <f>S25&amp;","</f>
        <v>0,</v>
      </c>
      <c r="T31" s="1" t="str">
        <f t="shared" si="68"/>
        <v>0,</v>
      </c>
      <c r="U31" s="1" t="str">
        <f t="shared" si="68"/>
        <v>0,</v>
      </c>
      <c r="V31" s="1" t="str">
        <f t="shared" si="68"/>
        <v>0,</v>
      </c>
      <c r="W31" s="13"/>
      <c r="Y31" s="1" t="str">
        <f>Y25&amp;","</f>
        <v>0,</v>
      </c>
      <c r="Z31" s="1" t="str">
        <f t="shared" si="69"/>
        <v>0,</v>
      </c>
      <c r="AA31" s="1" t="str">
        <f t="shared" si="69"/>
        <v>0,</v>
      </c>
      <c r="AB31" s="1" t="str">
        <f t="shared" si="69"/>
        <v>0,</v>
      </c>
    </row>
    <row r="32" spans="1:28" x14ac:dyDescent="0.2">
      <c r="A32" s="1" t="str">
        <f>A26&amp;","</f>
        <v>0,</v>
      </c>
      <c r="B32" s="1" t="str">
        <f>B26&amp;","</f>
        <v>0,</v>
      </c>
      <c r="C32" s="1" t="str">
        <f>C26&amp;","</f>
        <v>0,</v>
      </c>
      <c r="D32" s="1" t="str">
        <f>D26&amp;"},"</f>
        <v>0},</v>
      </c>
      <c r="E32" s="13"/>
      <c r="G32" s="1" t="str">
        <f>G26&amp;","</f>
        <v>0,</v>
      </c>
      <c r="H32" s="1" t="str">
        <f>H26&amp;","</f>
        <v>0,</v>
      </c>
      <c r="I32" s="1" t="str">
        <f>I26&amp;","</f>
        <v>0,</v>
      </c>
      <c r="J32" s="1" t="str">
        <f>J26&amp;"},"</f>
        <v>0},</v>
      </c>
      <c r="K32" s="13"/>
      <c r="M32" s="1" t="str">
        <f>M26&amp;","</f>
        <v>0,</v>
      </c>
      <c r="N32" s="1" t="str">
        <f>N26&amp;","</f>
        <v>0,</v>
      </c>
      <c r="O32" s="1" t="str">
        <f>O26&amp;","</f>
        <v>0,</v>
      </c>
      <c r="P32" s="1" t="str">
        <f>P26&amp;"},"</f>
        <v>0},</v>
      </c>
      <c r="Q32" s="13"/>
      <c r="S32" s="1" t="str">
        <f>S26&amp;","</f>
        <v>0,</v>
      </c>
      <c r="T32" s="1" t="str">
        <f>T26&amp;","</f>
        <v>0,</v>
      </c>
      <c r="U32" s="1" t="str">
        <f>U26&amp;","</f>
        <v>0,</v>
      </c>
      <c r="V32" s="1" t="str">
        <f>V26&amp;"},"</f>
        <v>0},</v>
      </c>
      <c r="W32" s="13"/>
      <c r="Y32" s="1" t="str">
        <f>Y26&amp;","</f>
        <v>0,</v>
      </c>
      <c r="Z32" s="1" t="str">
        <f>Z26&amp;","</f>
        <v>0,</v>
      </c>
      <c r="AA32" s="1" t="str">
        <f>AA26&amp;","</f>
        <v>0,</v>
      </c>
      <c r="AB32" s="1" t="str">
        <f>AB26&amp;"},"</f>
        <v>0},</v>
      </c>
    </row>
    <row r="33" spans="1:28" ht="12" thickBo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x14ac:dyDescent="0.2">
      <c r="A34" s="5">
        <v>0</v>
      </c>
      <c r="B34" s="6">
        <v>0</v>
      </c>
      <c r="C34" s="6">
        <v>0</v>
      </c>
      <c r="D34" s="7">
        <v>0</v>
      </c>
      <c r="E34" s="14" t="str">
        <f>"{0x" &amp; DEC2HEX(A34+B34*2+C34*4+D34*8) &amp; ","</f>
        <v>{0x0,</v>
      </c>
      <c r="G34" s="5">
        <v>0</v>
      </c>
      <c r="H34" s="6">
        <v>1</v>
      </c>
      <c r="I34" s="6">
        <v>1</v>
      </c>
      <c r="J34" s="7">
        <v>0</v>
      </c>
      <c r="K34" s="14" t="str">
        <f>"{0x" &amp; DEC2HEX(G34+H34*2+I34*4+J34*8) &amp; ","</f>
        <v>{0x6,</v>
      </c>
      <c r="M34" s="5">
        <v>1</v>
      </c>
      <c r="N34" s="6">
        <v>0</v>
      </c>
      <c r="O34" s="6">
        <v>0</v>
      </c>
      <c r="P34" s="7">
        <v>0</v>
      </c>
      <c r="Q34" s="14" t="str">
        <f>"{0x" &amp; DEC2HEX(M34+N34*2+O34*4+P34*8) &amp; ","</f>
        <v>{0x1,</v>
      </c>
      <c r="S34" s="5">
        <v>0</v>
      </c>
      <c r="T34" s="6">
        <v>1</v>
      </c>
      <c r="U34" s="6">
        <v>0</v>
      </c>
      <c r="V34" s="7">
        <v>0</v>
      </c>
      <c r="W34" s="14" t="str">
        <f>"{0x" &amp; DEC2HEX(S34+T34*2+U34*4+V34*8) &amp; ","</f>
        <v>{0x2,</v>
      </c>
      <c r="Y34" s="2">
        <v>0</v>
      </c>
      <c r="Z34" s="2">
        <v>0</v>
      </c>
      <c r="AA34" s="2">
        <v>0</v>
      </c>
      <c r="AB34" s="2">
        <v>0</v>
      </c>
    </row>
    <row r="35" spans="1:28" x14ac:dyDescent="0.2">
      <c r="A35" s="8">
        <v>1</v>
      </c>
      <c r="B35" s="2">
        <v>1</v>
      </c>
      <c r="C35" s="2">
        <v>1</v>
      </c>
      <c r="D35" s="9">
        <v>0</v>
      </c>
      <c r="E35" s="14" t="str">
        <f>"0x" &amp; DEC2HEX(A35+B35*2+C35*4+D35*8) &amp; ","</f>
        <v>0x7,</v>
      </c>
      <c r="G35" s="8">
        <v>0</v>
      </c>
      <c r="H35" s="2">
        <v>1</v>
      </c>
      <c r="I35" s="2">
        <v>0</v>
      </c>
      <c r="J35" s="9">
        <v>0</v>
      </c>
      <c r="K35" s="14" t="str">
        <f>"0x" &amp; DEC2HEX(G35+H35*2+I35*4+J35*8) &amp; ","</f>
        <v>0x2,</v>
      </c>
      <c r="M35" s="8">
        <v>1</v>
      </c>
      <c r="N35" s="2">
        <v>1</v>
      </c>
      <c r="O35" s="2">
        <v>1</v>
      </c>
      <c r="P35" s="9">
        <v>0</v>
      </c>
      <c r="Q35" s="14" t="str">
        <f>"0x" &amp; DEC2HEX(M35+N35*2+O35*4+P35*8) &amp; ","</f>
        <v>0x7,</v>
      </c>
      <c r="S35" s="8">
        <v>0</v>
      </c>
      <c r="T35" s="2">
        <v>1</v>
      </c>
      <c r="U35" s="2">
        <v>0</v>
      </c>
      <c r="V35" s="9">
        <v>0</v>
      </c>
      <c r="W35" s="14" t="str">
        <f>"0x" &amp; DEC2HEX(S35+T35*2+U35*4+V35*8) &amp; ","</f>
        <v>0x2,</v>
      </c>
      <c r="Y35" s="2">
        <v>0</v>
      </c>
      <c r="Z35" s="2">
        <v>0</v>
      </c>
      <c r="AA35" s="2">
        <v>0</v>
      </c>
      <c r="AB35" s="2">
        <v>0</v>
      </c>
    </row>
    <row r="36" spans="1:28" x14ac:dyDescent="0.2">
      <c r="A36" s="8">
        <v>0</v>
      </c>
      <c r="B36" s="2">
        <v>0</v>
      </c>
      <c r="C36" s="2">
        <v>1</v>
      </c>
      <c r="D36" s="9">
        <v>0</v>
      </c>
      <c r="E36" s="14" t="str">
        <f t="shared" ref="E36" si="70">"0x" &amp; DEC2HEX(A36+B36*2+C36*4+D36*8) &amp; ","</f>
        <v>0x4,</v>
      </c>
      <c r="G36" s="8">
        <v>0</v>
      </c>
      <c r="H36" s="2">
        <v>1</v>
      </c>
      <c r="I36" s="2">
        <v>0</v>
      </c>
      <c r="J36" s="9">
        <v>0</v>
      </c>
      <c r="K36" s="14" t="str">
        <f t="shared" ref="K36" si="71">"0x" &amp; DEC2HEX(G36+H36*2+I36*4+J36*8) &amp; ","</f>
        <v>0x2,</v>
      </c>
      <c r="M36" s="8">
        <v>0</v>
      </c>
      <c r="N36" s="2">
        <v>0</v>
      </c>
      <c r="O36" s="2">
        <v>0</v>
      </c>
      <c r="P36" s="9">
        <v>0</v>
      </c>
      <c r="Q36" s="14" t="str">
        <f t="shared" ref="Q36" si="72">"0x" &amp; DEC2HEX(M36+N36*2+O36*4+P36*8) &amp; ","</f>
        <v>0x0,</v>
      </c>
      <c r="S36" s="8">
        <v>1</v>
      </c>
      <c r="T36" s="2">
        <v>1</v>
      </c>
      <c r="U36" s="2">
        <v>0</v>
      </c>
      <c r="V36" s="9">
        <v>0</v>
      </c>
      <c r="W36" s="14" t="str">
        <f t="shared" ref="W36" si="73">"0x" &amp; DEC2HEX(S36+T36*2+U36*4+V36*8) &amp; ","</f>
        <v>0x3,</v>
      </c>
      <c r="Y36" s="2">
        <v>0</v>
      </c>
      <c r="Z36" s="2">
        <v>0</v>
      </c>
      <c r="AA36" s="2">
        <v>0</v>
      </c>
      <c r="AB36" s="2">
        <v>0</v>
      </c>
    </row>
    <row r="37" spans="1:28" ht="12" thickBot="1" x14ac:dyDescent="0.25">
      <c r="A37" s="10">
        <v>0</v>
      </c>
      <c r="B37" s="11">
        <v>0</v>
      </c>
      <c r="C37" s="11">
        <v>0</v>
      </c>
      <c r="D37" s="12">
        <v>0</v>
      </c>
      <c r="E37" s="14" t="str">
        <f>"0x" &amp; DEC2HEX(A37+B37*2+C37*4+D37*8) &amp; "},"</f>
        <v>0x0},</v>
      </c>
      <c r="G37" s="10">
        <v>0</v>
      </c>
      <c r="H37" s="11">
        <v>0</v>
      </c>
      <c r="I37" s="11">
        <v>0</v>
      </c>
      <c r="J37" s="12">
        <v>0</v>
      </c>
      <c r="K37" s="14" t="str">
        <f>"0x" &amp; DEC2HEX(G37+H37*2+I37*4+J37*8) &amp; "},"</f>
        <v>0x0},</v>
      </c>
      <c r="M37" s="10">
        <v>0</v>
      </c>
      <c r="N37" s="11">
        <v>0</v>
      </c>
      <c r="O37" s="11">
        <v>0</v>
      </c>
      <c r="P37" s="12">
        <v>0</v>
      </c>
      <c r="Q37" s="14" t="str">
        <f>"0x" &amp; DEC2HEX(M37+N37*2+O37*4+P37*8) &amp; "},"</f>
        <v>0x0},</v>
      </c>
      <c r="S37" s="10">
        <v>0</v>
      </c>
      <c r="T37" s="11">
        <v>0</v>
      </c>
      <c r="U37" s="11">
        <v>0</v>
      </c>
      <c r="V37" s="12">
        <v>0</v>
      </c>
      <c r="W37" s="14" t="str">
        <f>"0x" &amp; DEC2HEX(S37+T37*2+U37*4+V37*8) &amp; "},"</f>
        <v>0x0},</v>
      </c>
      <c r="Y37" s="2">
        <v>0</v>
      </c>
      <c r="Z37" s="2">
        <v>0</v>
      </c>
      <c r="AA37" s="2">
        <v>0</v>
      </c>
      <c r="AB37" s="2">
        <v>0</v>
      </c>
    </row>
    <row r="38" spans="1:28" x14ac:dyDescent="0.2">
      <c r="A38" s="3" t="str">
        <f>"0x" &amp; DEC2HEX(A37+A36*2+A35*4+A34*8) &amp; ","</f>
        <v>0x4,</v>
      </c>
      <c r="B38" s="3" t="str">
        <f t="shared" ref="B38" si="74">"0x" &amp; DEC2HEX(B37+B36*2+B35*4+B34*8) &amp; ","</f>
        <v>0x4,</v>
      </c>
      <c r="C38" s="3" t="str">
        <f t="shared" ref="C38" si="75">"0x" &amp; DEC2HEX(C37+C36*2+C35*4+C34*8) &amp; ","</f>
        <v>0x6,</v>
      </c>
      <c r="D38" s="3" t="str">
        <f t="shared" ref="D38" si="76">"0x" &amp; DEC2HEX(D37+D36*2+D35*4+D34*8) &amp; ","</f>
        <v>0x0,</v>
      </c>
      <c r="E38" s="3"/>
      <c r="G38" s="3" t="str">
        <f>"0x" &amp; DEC2HEX(G37+G36*2+G35*4+G34*8) &amp; ","</f>
        <v>0x0,</v>
      </c>
      <c r="H38" s="3" t="str">
        <f t="shared" ref="H38" si="77">"0x" &amp; DEC2HEX(H37+H36*2+H35*4+H34*8) &amp; ","</f>
        <v>0xE,</v>
      </c>
      <c r="I38" s="3" t="str">
        <f t="shared" ref="I38" si="78">"0x" &amp; DEC2HEX(I37+I36*2+I35*4+I34*8) &amp; ","</f>
        <v>0x8,</v>
      </c>
      <c r="J38" s="3" t="str">
        <f t="shared" ref="J38" si="79">"0x" &amp; DEC2HEX(J37+J36*2+J35*4+J34*8) &amp; ","</f>
        <v>0x0,</v>
      </c>
      <c r="K38" s="3"/>
      <c r="M38" s="3" t="str">
        <f>"0x" &amp; DEC2HEX(M37+M36*2+M35*4+M34*8) &amp; ","</f>
        <v>0xC,</v>
      </c>
      <c r="N38" s="3" t="str">
        <f t="shared" ref="N38" si="80">"0x" &amp; DEC2HEX(N37+N36*2+N35*4+N34*8) &amp; ","</f>
        <v>0x4,</v>
      </c>
      <c r="O38" s="3" t="str">
        <f t="shared" ref="O38" si="81">"0x" &amp; DEC2HEX(O37+O36*2+O35*4+O34*8) &amp; ","</f>
        <v>0x4,</v>
      </c>
      <c r="P38" s="3" t="str">
        <f t="shared" ref="P38" si="82">"0x" &amp; DEC2HEX(P37+P36*2+P35*4+P34*8) &amp; ","</f>
        <v>0x0,</v>
      </c>
      <c r="Q38" s="3"/>
      <c r="S38" s="3" t="str">
        <f>"0x" &amp; DEC2HEX(S37+S36*2+S35*4+S34*8) &amp; ","</f>
        <v>0x2,</v>
      </c>
      <c r="T38" s="3" t="str">
        <f t="shared" ref="T38" si="83">"0x" &amp; DEC2HEX(T37+T36*2+T35*4+T34*8) &amp; ","</f>
        <v>0xE,</v>
      </c>
      <c r="U38" s="3" t="str">
        <f t="shared" ref="U38" si="84">"0x" &amp; DEC2HEX(U37+U36*2+U35*4+U34*8) &amp; ","</f>
        <v>0x0,</v>
      </c>
      <c r="V38" s="3" t="str">
        <f t="shared" ref="V38" si="85">"0x" &amp; DEC2HEX(V37+V36*2+V35*4+V34*8) &amp; ","</f>
        <v>0x0,</v>
      </c>
      <c r="W38" s="3"/>
      <c r="Y38" s="3" t="str">
        <f>"0x" &amp; DEC2HEX(Y37+Y36*2+Y35*4+Y34*8) &amp; ","</f>
        <v>0x0,</v>
      </c>
      <c r="Z38" s="3" t="str">
        <f t="shared" ref="Z38" si="86">"0x" &amp; DEC2HEX(Z37+Z36*2+Z35*4+Z34*8) &amp; ","</f>
        <v>0x0,</v>
      </c>
      <c r="AA38" s="3" t="str">
        <f t="shared" ref="AA38" si="87">"0x" &amp; DEC2HEX(AA37+AA36*2+AA35*4+AA34*8) &amp; ","</f>
        <v>0x0,</v>
      </c>
      <c r="AB38" s="3" t="str">
        <f t="shared" ref="AB38" si="88">"0x" &amp; DEC2HEX(AB37+AB36*2+AB35*4+AB34*8) &amp; ","</f>
        <v>0x0,</v>
      </c>
    </row>
    <row r="40" spans="1:28" x14ac:dyDescent="0.2">
      <c r="A40" s="1" t="str">
        <f>"{"&amp;A34&amp;","</f>
        <v>{0,</v>
      </c>
      <c r="B40" s="1" t="str">
        <f t="shared" ref="B40:D42" si="89">B34&amp;","</f>
        <v>0,</v>
      </c>
      <c r="C40" s="1" t="str">
        <f t="shared" si="89"/>
        <v>0,</v>
      </c>
      <c r="D40" s="1" t="str">
        <f t="shared" si="89"/>
        <v>0,</v>
      </c>
      <c r="E40" s="13"/>
      <c r="G40" s="1" t="str">
        <f>"{"&amp;G34&amp;","</f>
        <v>{0,</v>
      </c>
      <c r="H40" s="1" t="str">
        <f t="shared" ref="H40:J42" si="90">H34&amp;","</f>
        <v>1,</v>
      </c>
      <c r="I40" s="1" t="str">
        <f t="shared" si="90"/>
        <v>1,</v>
      </c>
      <c r="J40" s="1" t="str">
        <f t="shared" si="90"/>
        <v>0,</v>
      </c>
      <c r="K40" s="13"/>
      <c r="M40" s="1" t="str">
        <f>"{"&amp;M34&amp;","</f>
        <v>{1,</v>
      </c>
      <c r="N40" s="1" t="str">
        <f t="shared" ref="N40:P42" si="91">N34&amp;","</f>
        <v>0,</v>
      </c>
      <c r="O40" s="1" t="str">
        <f t="shared" si="91"/>
        <v>0,</v>
      </c>
      <c r="P40" s="1" t="str">
        <f t="shared" si="91"/>
        <v>0,</v>
      </c>
      <c r="Q40" s="13"/>
      <c r="S40" s="1" t="str">
        <f>"{"&amp;S34&amp;","</f>
        <v>{0,</v>
      </c>
      <c r="T40" s="1" t="str">
        <f t="shared" ref="T40:V42" si="92">T34&amp;","</f>
        <v>1,</v>
      </c>
      <c r="U40" s="1" t="str">
        <f t="shared" si="92"/>
        <v>0,</v>
      </c>
      <c r="V40" s="1" t="str">
        <f t="shared" si="92"/>
        <v>0,</v>
      </c>
      <c r="W40" s="13"/>
      <c r="Y40" s="1" t="str">
        <f>"{"&amp;Y34&amp;","</f>
        <v>{0,</v>
      </c>
      <c r="Z40" s="1" t="str">
        <f t="shared" ref="Z40:AB42" si="93">Z34&amp;","</f>
        <v>0,</v>
      </c>
      <c r="AA40" s="1" t="str">
        <f t="shared" si="93"/>
        <v>0,</v>
      </c>
      <c r="AB40" s="1" t="str">
        <f t="shared" si="93"/>
        <v>0,</v>
      </c>
    </row>
    <row r="41" spans="1:28" x14ac:dyDescent="0.2">
      <c r="A41" s="1" t="str">
        <f>A35&amp;","</f>
        <v>1,</v>
      </c>
      <c r="B41" s="1" t="str">
        <f t="shared" si="89"/>
        <v>1,</v>
      </c>
      <c r="C41" s="1" t="str">
        <f t="shared" si="89"/>
        <v>1,</v>
      </c>
      <c r="D41" s="1" t="str">
        <f t="shared" si="89"/>
        <v>0,</v>
      </c>
      <c r="E41" s="13"/>
      <c r="G41" s="1" t="str">
        <f>G35&amp;","</f>
        <v>0,</v>
      </c>
      <c r="H41" s="1" t="str">
        <f t="shared" si="90"/>
        <v>1,</v>
      </c>
      <c r="I41" s="1" t="str">
        <f t="shared" si="90"/>
        <v>0,</v>
      </c>
      <c r="J41" s="1" t="str">
        <f t="shared" si="90"/>
        <v>0,</v>
      </c>
      <c r="K41" s="13"/>
      <c r="M41" s="1" t="str">
        <f>M35&amp;","</f>
        <v>1,</v>
      </c>
      <c r="N41" s="1" t="str">
        <f t="shared" si="91"/>
        <v>1,</v>
      </c>
      <c r="O41" s="1" t="str">
        <f t="shared" si="91"/>
        <v>1,</v>
      </c>
      <c r="P41" s="1" t="str">
        <f t="shared" si="91"/>
        <v>0,</v>
      </c>
      <c r="Q41" s="13"/>
      <c r="S41" s="1" t="str">
        <f>S35&amp;","</f>
        <v>0,</v>
      </c>
      <c r="T41" s="1" t="str">
        <f t="shared" si="92"/>
        <v>1,</v>
      </c>
      <c r="U41" s="1" t="str">
        <f t="shared" si="92"/>
        <v>0,</v>
      </c>
      <c r="V41" s="1" t="str">
        <f t="shared" si="92"/>
        <v>0,</v>
      </c>
      <c r="W41" s="13"/>
      <c r="Y41" s="1" t="str">
        <f>Y35&amp;","</f>
        <v>0,</v>
      </c>
      <c r="Z41" s="1" t="str">
        <f t="shared" si="93"/>
        <v>0,</v>
      </c>
      <c r="AA41" s="1" t="str">
        <f t="shared" si="93"/>
        <v>0,</v>
      </c>
      <c r="AB41" s="1" t="str">
        <f t="shared" si="93"/>
        <v>0,</v>
      </c>
    </row>
    <row r="42" spans="1:28" x14ac:dyDescent="0.2">
      <c r="A42" s="1" t="str">
        <f>A36&amp;","</f>
        <v>0,</v>
      </c>
      <c r="B42" s="1" t="str">
        <f t="shared" si="89"/>
        <v>0,</v>
      </c>
      <c r="C42" s="1" t="str">
        <f t="shared" si="89"/>
        <v>1,</v>
      </c>
      <c r="D42" s="1" t="str">
        <f t="shared" si="89"/>
        <v>0,</v>
      </c>
      <c r="E42" s="13"/>
      <c r="G42" s="1" t="str">
        <f>G36&amp;","</f>
        <v>0,</v>
      </c>
      <c r="H42" s="1" t="str">
        <f t="shared" si="90"/>
        <v>1,</v>
      </c>
      <c r="I42" s="1" t="str">
        <f t="shared" si="90"/>
        <v>0,</v>
      </c>
      <c r="J42" s="1" t="str">
        <f t="shared" si="90"/>
        <v>0,</v>
      </c>
      <c r="K42" s="13"/>
      <c r="M42" s="1" t="str">
        <f>M36&amp;","</f>
        <v>0,</v>
      </c>
      <c r="N42" s="1" t="str">
        <f t="shared" si="91"/>
        <v>0,</v>
      </c>
      <c r="O42" s="1" t="str">
        <f t="shared" si="91"/>
        <v>0,</v>
      </c>
      <c r="P42" s="1" t="str">
        <f t="shared" si="91"/>
        <v>0,</v>
      </c>
      <c r="Q42" s="13"/>
      <c r="S42" s="1" t="str">
        <f>S36&amp;","</f>
        <v>1,</v>
      </c>
      <c r="T42" s="1" t="str">
        <f t="shared" si="92"/>
        <v>1,</v>
      </c>
      <c r="U42" s="1" t="str">
        <f t="shared" si="92"/>
        <v>0,</v>
      </c>
      <c r="V42" s="1" t="str">
        <f t="shared" si="92"/>
        <v>0,</v>
      </c>
      <c r="W42" s="13"/>
      <c r="Y42" s="1" t="str">
        <f>Y36&amp;","</f>
        <v>0,</v>
      </c>
      <c r="Z42" s="1" t="str">
        <f t="shared" si="93"/>
        <v>0,</v>
      </c>
      <c r="AA42" s="1" t="str">
        <f t="shared" si="93"/>
        <v>0,</v>
      </c>
      <c r="AB42" s="1" t="str">
        <f t="shared" si="93"/>
        <v>0,</v>
      </c>
    </row>
    <row r="43" spans="1:28" x14ac:dyDescent="0.2">
      <c r="A43" s="1" t="str">
        <f>A37&amp;","</f>
        <v>0,</v>
      </c>
      <c r="B43" s="1" t="str">
        <f>B37&amp;","</f>
        <v>0,</v>
      </c>
      <c r="C43" s="1" t="str">
        <f>C37&amp;","</f>
        <v>0,</v>
      </c>
      <c r="D43" s="1" t="str">
        <f>D37&amp;"},"</f>
        <v>0},</v>
      </c>
      <c r="E43" s="13"/>
      <c r="G43" s="1" t="str">
        <f>G37&amp;","</f>
        <v>0,</v>
      </c>
      <c r="H43" s="1" t="str">
        <f>H37&amp;","</f>
        <v>0,</v>
      </c>
      <c r="I43" s="1" t="str">
        <f>I37&amp;","</f>
        <v>0,</v>
      </c>
      <c r="J43" s="1" t="str">
        <f>J37&amp;"},"</f>
        <v>0},</v>
      </c>
      <c r="K43" s="13"/>
      <c r="M43" s="1" t="str">
        <f>M37&amp;","</f>
        <v>0,</v>
      </c>
      <c r="N43" s="1" t="str">
        <f>N37&amp;","</f>
        <v>0,</v>
      </c>
      <c r="O43" s="1" t="str">
        <f>O37&amp;","</f>
        <v>0,</v>
      </c>
      <c r="P43" s="1" t="str">
        <f>P37&amp;"},"</f>
        <v>0},</v>
      </c>
      <c r="Q43" s="13"/>
      <c r="S43" s="1" t="str">
        <f>S37&amp;","</f>
        <v>0,</v>
      </c>
      <c r="T43" s="1" t="str">
        <f>T37&amp;","</f>
        <v>0,</v>
      </c>
      <c r="U43" s="1" t="str">
        <f>U37&amp;","</f>
        <v>0,</v>
      </c>
      <c r="V43" s="1" t="str">
        <f>V37&amp;"},"</f>
        <v>0},</v>
      </c>
      <c r="W43" s="13"/>
      <c r="Y43" s="1" t="str">
        <f>Y37&amp;","</f>
        <v>0,</v>
      </c>
      <c r="Z43" s="1" t="str">
        <f>Z37&amp;","</f>
        <v>0,</v>
      </c>
      <c r="AA43" s="1" t="str">
        <f>AA37&amp;","</f>
        <v>0,</v>
      </c>
      <c r="AB43" s="1" t="str">
        <f>AB37&amp;"},"</f>
        <v>0},</v>
      </c>
    </row>
    <row r="44" spans="1:28" x14ac:dyDescent="0.2">
      <c r="A44" s="13"/>
      <c r="B44" s="13"/>
      <c r="C44" s="13"/>
      <c r="D44" s="13"/>
      <c r="E44" s="13"/>
      <c r="G44" s="13"/>
      <c r="H44" s="13"/>
      <c r="I44" s="13"/>
      <c r="J44" s="13"/>
      <c r="K44" s="13"/>
      <c r="M44" s="13"/>
      <c r="N44" s="13"/>
      <c r="O44" s="13"/>
      <c r="P44" s="13"/>
      <c r="Q44" s="13"/>
      <c r="S44" s="13"/>
      <c r="T44" s="13"/>
      <c r="U44" s="13"/>
      <c r="V44" s="13"/>
      <c r="W44" s="13"/>
      <c r="Y44" s="13"/>
      <c r="Z44" s="13"/>
      <c r="AA44" s="13"/>
      <c r="AB44" s="13"/>
    </row>
    <row r="45" spans="1:28" ht="12" thickBo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x14ac:dyDescent="0.2">
      <c r="A46" s="5">
        <v>0</v>
      </c>
      <c r="B46" s="6">
        <v>0</v>
      </c>
      <c r="C46" s="6">
        <v>0</v>
      </c>
      <c r="D46" s="7">
        <v>0</v>
      </c>
      <c r="E46" s="14" t="str">
        <f>"{0x" &amp; DEC2HEX(A46+B46*2+C46*4+D46*8) &amp; ","</f>
        <v>{0x0,</v>
      </c>
      <c r="G46" s="5">
        <v>1</v>
      </c>
      <c r="H46" s="6">
        <v>1</v>
      </c>
      <c r="I46" s="6">
        <v>0</v>
      </c>
      <c r="J46" s="7">
        <v>0</v>
      </c>
      <c r="K46" s="14" t="str">
        <f>"{0x" &amp; DEC2HEX(G46+H46*2+I46*4+J46*8) &amp; ","</f>
        <v>{0x3,</v>
      </c>
      <c r="M46" s="5">
        <v>0</v>
      </c>
      <c r="N46" s="6">
        <v>0</v>
      </c>
      <c r="O46" s="6">
        <v>1</v>
      </c>
      <c r="P46" s="7">
        <v>0</v>
      </c>
      <c r="Q46" s="14" t="str">
        <f>"{0x" &amp; DEC2HEX(M46+N46*2+O46*4+P46*8) &amp; ","</f>
        <v>{0x4,</v>
      </c>
      <c r="S46" s="5">
        <v>0</v>
      </c>
      <c r="T46" s="6">
        <v>1</v>
      </c>
      <c r="U46" s="6">
        <v>0</v>
      </c>
      <c r="V46" s="7">
        <v>0</v>
      </c>
      <c r="W46" s="14" t="str">
        <f>"{0x" &amp; DEC2HEX(S46+T46*2+U46*4+V46*8) &amp; ","</f>
        <v>{0x2,</v>
      </c>
      <c r="Y46" s="2">
        <v>0</v>
      </c>
      <c r="Z46" s="2">
        <v>0</v>
      </c>
      <c r="AA46" s="2">
        <v>0</v>
      </c>
      <c r="AB46" s="2">
        <v>0</v>
      </c>
    </row>
    <row r="47" spans="1:28" x14ac:dyDescent="0.2">
      <c r="A47" s="8">
        <v>1</v>
      </c>
      <c r="B47" s="2">
        <v>1</v>
      </c>
      <c r="C47" s="2">
        <v>1</v>
      </c>
      <c r="D47" s="9">
        <v>0</v>
      </c>
      <c r="E47" s="14" t="str">
        <f>"0x" &amp; DEC2HEX(A47+B47*2+C47*4+D47*8) &amp; ","</f>
        <v>0x7,</v>
      </c>
      <c r="G47" s="8">
        <v>0</v>
      </c>
      <c r="H47" s="2">
        <v>1</v>
      </c>
      <c r="I47" s="2">
        <v>0</v>
      </c>
      <c r="J47" s="9">
        <v>0</v>
      </c>
      <c r="K47" s="14" t="str">
        <f>"0x" &amp; DEC2HEX(G47+H47*2+I47*4+J47*8) &amp; ","</f>
        <v>0x2,</v>
      </c>
      <c r="M47" s="8">
        <v>1</v>
      </c>
      <c r="N47" s="2">
        <v>1</v>
      </c>
      <c r="O47" s="2">
        <v>1</v>
      </c>
      <c r="P47" s="9">
        <v>0</v>
      </c>
      <c r="Q47" s="14" t="str">
        <f>"0x" &amp; DEC2HEX(M47+N47*2+O47*4+P47*8) &amp; ","</f>
        <v>0x7,</v>
      </c>
      <c r="S47" s="8">
        <v>0</v>
      </c>
      <c r="T47" s="2">
        <v>1</v>
      </c>
      <c r="U47" s="2">
        <v>0</v>
      </c>
      <c r="V47" s="9">
        <v>0</v>
      </c>
      <c r="W47" s="14" t="str">
        <f>"0x" &amp; DEC2HEX(S47+T47*2+U47*4+V47*8) &amp; ","</f>
        <v>0x2,</v>
      </c>
      <c r="Y47" s="2">
        <v>0</v>
      </c>
      <c r="Z47" s="2">
        <v>0</v>
      </c>
      <c r="AA47" s="2">
        <v>0</v>
      </c>
      <c r="AB47" s="2">
        <v>0</v>
      </c>
    </row>
    <row r="48" spans="1:28" x14ac:dyDescent="0.2">
      <c r="A48" s="8">
        <v>1</v>
      </c>
      <c r="B48" s="2">
        <v>0</v>
      </c>
      <c r="C48" s="2">
        <v>0</v>
      </c>
      <c r="D48" s="9">
        <v>0</v>
      </c>
      <c r="E48" s="14" t="str">
        <f t="shared" ref="E48" si="94">"0x" &amp; DEC2HEX(A48+B48*2+C48*4+D48*8) &amp; ","</f>
        <v>0x1,</v>
      </c>
      <c r="G48" s="8">
        <v>0</v>
      </c>
      <c r="H48" s="2">
        <v>1</v>
      </c>
      <c r="I48" s="2">
        <v>0</v>
      </c>
      <c r="J48" s="9">
        <v>0</v>
      </c>
      <c r="K48" s="14" t="str">
        <f t="shared" ref="K48" si="95">"0x" &amp; DEC2HEX(G48+H48*2+I48*4+J48*8) &amp; ","</f>
        <v>0x2,</v>
      </c>
      <c r="M48" s="8">
        <v>0</v>
      </c>
      <c r="N48" s="2">
        <v>0</v>
      </c>
      <c r="O48" s="2">
        <v>0</v>
      </c>
      <c r="P48" s="9">
        <v>0</v>
      </c>
      <c r="Q48" s="14" t="str">
        <f t="shared" ref="Q48" si="96">"0x" &amp; DEC2HEX(M48+N48*2+O48*4+P48*8) &amp; ","</f>
        <v>0x0,</v>
      </c>
      <c r="S48" s="8">
        <v>0</v>
      </c>
      <c r="T48" s="2">
        <v>1</v>
      </c>
      <c r="U48" s="2">
        <v>1</v>
      </c>
      <c r="V48" s="9">
        <v>0</v>
      </c>
      <c r="W48" s="14" t="str">
        <f t="shared" ref="W48" si="97">"0x" &amp; DEC2HEX(S48+T48*2+U48*4+V48*8) &amp; ","</f>
        <v>0x6,</v>
      </c>
      <c r="Y48" s="2">
        <v>0</v>
      </c>
      <c r="Z48" s="2">
        <v>0</v>
      </c>
      <c r="AA48" s="2">
        <v>0</v>
      </c>
      <c r="AB48" s="2">
        <v>0</v>
      </c>
    </row>
    <row r="49" spans="1:28" ht="12" thickBot="1" x14ac:dyDescent="0.25">
      <c r="A49" s="10">
        <v>0</v>
      </c>
      <c r="B49" s="11">
        <v>0</v>
      </c>
      <c r="C49" s="11">
        <v>0</v>
      </c>
      <c r="D49" s="12">
        <v>0</v>
      </c>
      <c r="E49" s="14" t="str">
        <f>"0x" &amp; DEC2HEX(A49+B49*2+C49*4+D49*8) &amp; "},"</f>
        <v>0x0},</v>
      </c>
      <c r="G49" s="10">
        <v>0</v>
      </c>
      <c r="H49" s="11">
        <v>0</v>
      </c>
      <c r="I49" s="11">
        <v>0</v>
      </c>
      <c r="J49" s="12">
        <v>0</v>
      </c>
      <c r="K49" s="14" t="str">
        <f>"0x" &amp; DEC2HEX(G49+H49*2+I49*4+J49*8) &amp; "},"</f>
        <v>0x0},</v>
      </c>
      <c r="M49" s="10">
        <v>0</v>
      </c>
      <c r="N49" s="11">
        <v>0</v>
      </c>
      <c r="O49" s="11">
        <v>0</v>
      </c>
      <c r="P49" s="12">
        <v>0</v>
      </c>
      <c r="Q49" s="14" t="str">
        <f>"0x" &amp; DEC2HEX(M49+N49*2+O49*4+P49*8) &amp; "},"</f>
        <v>0x0},</v>
      </c>
      <c r="S49" s="10">
        <v>0</v>
      </c>
      <c r="T49" s="11">
        <v>0</v>
      </c>
      <c r="U49" s="11">
        <v>0</v>
      </c>
      <c r="V49" s="12">
        <v>0</v>
      </c>
      <c r="W49" s="14" t="str">
        <f>"0x" &amp; DEC2HEX(S49+T49*2+U49*4+V49*8) &amp; "},"</f>
        <v>0x0},</v>
      </c>
      <c r="Y49" s="2">
        <v>0</v>
      </c>
      <c r="Z49" s="2">
        <v>0</v>
      </c>
      <c r="AA49" s="2">
        <v>0</v>
      </c>
      <c r="AB49" s="2">
        <v>0</v>
      </c>
    </row>
    <row r="50" spans="1:28" x14ac:dyDescent="0.2">
      <c r="A50" s="3" t="str">
        <f>"0x" &amp; DEC2HEX(A49+A48*2+A47*4+A46*8) &amp; ","</f>
        <v>0x6,</v>
      </c>
      <c r="B50" s="3" t="str">
        <f t="shared" ref="B50" si="98">"0x" &amp; DEC2HEX(B49+B48*2+B47*4+B46*8) &amp; ","</f>
        <v>0x4,</v>
      </c>
      <c r="C50" s="3" t="str">
        <f t="shared" ref="C50" si="99">"0x" &amp; DEC2HEX(C49+C48*2+C47*4+C46*8) &amp; ","</f>
        <v>0x4,</v>
      </c>
      <c r="D50" s="3" t="str">
        <f t="shared" ref="D50" si="100">"0x" &amp; DEC2HEX(D49+D48*2+D47*4+D46*8) &amp; ","</f>
        <v>0x0,</v>
      </c>
      <c r="E50" s="3"/>
      <c r="G50" s="3" t="str">
        <f>"0x" &amp; DEC2HEX(G49+G48*2+G47*4+G46*8) &amp; ","</f>
        <v>0x8,</v>
      </c>
      <c r="H50" s="3" t="str">
        <f t="shared" ref="H50" si="101">"0x" &amp; DEC2HEX(H49+H48*2+H47*4+H46*8) &amp; ","</f>
        <v>0xE,</v>
      </c>
      <c r="I50" s="3" t="str">
        <f t="shared" ref="I50" si="102">"0x" &amp; DEC2HEX(I49+I48*2+I47*4+I46*8) &amp; ","</f>
        <v>0x0,</v>
      </c>
      <c r="J50" s="3" t="str">
        <f t="shared" ref="J50" si="103">"0x" &amp; DEC2HEX(J49+J48*2+J47*4+J46*8) &amp; ","</f>
        <v>0x0,</v>
      </c>
      <c r="K50" s="3"/>
      <c r="M50" s="3" t="str">
        <f>"0x" &amp; DEC2HEX(M49+M48*2+M47*4+M46*8) &amp; ","</f>
        <v>0x4,</v>
      </c>
      <c r="N50" s="3" t="str">
        <f t="shared" ref="N50" si="104">"0x" &amp; DEC2HEX(N49+N48*2+N47*4+N46*8) &amp; ","</f>
        <v>0x4,</v>
      </c>
      <c r="O50" s="3" t="str">
        <f t="shared" ref="O50" si="105">"0x" &amp; DEC2HEX(O49+O48*2+O47*4+O46*8) &amp; ","</f>
        <v>0xC,</v>
      </c>
      <c r="P50" s="3" t="str">
        <f t="shared" ref="P50" si="106">"0x" &amp; DEC2HEX(P49+P48*2+P47*4+P46*8) &amp; ","</f>
        <v>0x0,</v>
      </c>
      <c r="Q50" s="3"/>
      <c r="S50" s="3" t="str">
        <f>"0x" &amp; DEC2HEX(S49+S48*2+S47*4+S46*8) &amp; ","</f>
        <v>0x0,</v>
      </c>
      <c r="T50" s="3" t="str">
        <f t="shared" ref="T50" si="107">"0x" &amp; DEC2HEX(T49+T48*2+T47*4+T46*8) &amp; ","</f>
        <v>0xE,</v>
      </c>
      <c r="U50" s="3" t="str">
        <f t="shared" ref="U50" si="108">"0x" &amp; DEC2HEX(U49+U48*2+U47*4+U46*8) &amp; ","</f>
        <v>0x2,</v>
      </c>
      <c r="V50" s="3" t="str">
        <f t="shared" ref="V50" si="109">"0x" &amp; DEC2HEX(V49+V48*2+V47*4+V46*8) &amp; ","</f>
        <v>0x0,</v>
      </c>
      <c r="W50" s="3"/>
      <c r="Y50" s="3" t="str">
        <f>"0x" &amp; DEC2HEX(Y49+Y48*2+Y47*4+Y46*8) &amp; ","</f>
        <v>0x0,</v>
      </c>
      <c r="Z50" s="3" t="str">
        <f t="shared" ref="Z50" si="110">"0x" &amp; DEC2HEX(Z49+Z48*2+Z47*4+Z46*8) &amp; ","</f>
        <v>0x0,</v>
      </c>
      <c r="AA50" s="3" t="str">
        <f t="shared" ref="AA50" si="111">"0x" &amp; DEC2HEX(AA49+AA48*2+AA47*4+AA46*8) &amp; ","</f>
        <v>0x0,</v>
      </c>
      <c r="AB50" s="3" t="str">
        <f t="shared" ref="AB50" si="112">"0x" &amp; DEC2HEX(AB49+AB48*2+AB47*4+AB46*8) &amp; ","</f>
        <v>0x0,</v>
      </c>
    </row>
    <row r="52" spans="1:28" x14ac:dyDescent="0.2">
      <c r="A52" s="1" t="str">
        <f>"{"&amp;A46&amp;","</f>
        <v>{0,</v>
      </c>
      <c r="B52" s="1" t="str">
        <f t="shared" ref="B52:D54" si="113">B46&amp;","</f>
        <v>0,</v>
      </c>
      <c r="C52" s="1" t="str">
        <f t="shared" si="113"/>
        <v>0,</v>
      </c>
      <c r="D52" s="1" t="str">
        <f t="shared" si="113"/>
        <v>0,</v>
      </c>
      <c r="E52" s="13"/>
      <c r="G52" s="1" t="str">
        <f>"{"&amp;G46&amp;","</f>
        <v>{1,</v>
      </c>
      <c r="H52" s="1" t="str">
        <f t="shared" ref="H52:J54" si="114">H46&amp;","</f>
        <v>1,</v>
      </c>
      <c r="I52" s="1" t="str">
        <f t="shared" si="114"/>
        <v>0,</v>
      </c>
      <c r="J52" s="1" t="str">
        <f t="shared" si="114"/>
        <v>0,</v>
      </c>
      <c r="K52" s="13"/>
      <c r="M52" s="1" t="str">
        <f>"{"&amp;M46&amp;","</f>
        <v>{0,</v>
      </c>
      <c r="N52" s="1" t="str">
        <f t="shared" ref="N52:P54" si="115">N46&amp;","</f>
        <v>0,</v>
      </c>
      <c r="O52" s="1" t="str">
        <f t="shared" si="115"/>
        <v>1,</v>
      </c>
      <c r="P52" s="1" t="str">
        <f t="shared" si="115"/>
        <v>0,</v>
      </c>
      <c r="Q52" s="13"/>
      <c r="S52" s="1" t="str">
        <f>"{"&amp;S46&amp;","</f>
        <v>{0,</v>
      </c>
      <c r="T52" s="1" t="str">
        <f t="shared" ref="T52:V54" si="116">T46&amp;","</f>
        <v>1,</v>
      </c>
      <c r="U52" s="1" t="str">
        <f t="shared" si="116"/>
        <v>0,</v>
      </c>
      <c r="V52" s="1" t="str">
        <f t="shared" si="116"/>
        <v>0,</v>
      </c>
      <c r="W52" s="13"/>
      <c r="Y52" s="1" t="str">
        <f>"{"&amp;Y46&amp;","</f>
        <v>{0,</v>
      </c>
      <c r="Z52" s="1" t="str">
        <f t="shared" ref="Z52:AB54" si="117">Z46&amp;","</f>
        <v>0,</v>
      </c>
      <c r="AA52" s="1" t="str">
        <f t="shared" si="117"/>
        <v>0,</v>
      </c>
      <c r="AB52" s="1" t="str">
        <f t="shared" si="117"/>
        <v>0,</v>
      </c>
    </row>
    <row r="53" spans="1:28" x14ac:dyDescent="0.2">
      <c r="A53" s="1" t="str">
        <f>A47&amp;","</f>
        <v>1,</v>
      </c>
      <c r="B53" s="1" t="str">
        <f t="shared" si="113"/>
        <v>1,</v>
      </c>
      <c r="C53" s="1" t="str">
        <f t="shared" si="113"/>
        <v>1,</v>
      </c>
      <c r="D53" s="1" t="str">
        <f t="shared" si="113"/>
        <v>0,</v>
      </c>
      <c r="E53" s="13"/>
      <c r="G53" s="1" t="str">
        <f>G47&amp;","</f>
        <v>0,</v>
      </c>
      <c r="H53" s="1" t="str">
        <f t="shared" si="114"/>
        <v>1,</v>
      </c>
      <c r="I53" s="1" t="str">
        <f t="shared" si="114"/>
        <v>0,</v>
      </c>
      <c r="J53" s="1" t="str">
        <f t="shared" si="114"/>
        <v>0,</v>
      </c>
      <c r="K53" s="13"/>
      <c r="M53" s="1" t="str">
        <f>M47&amp;","</f>
        <v>1,</v>
      </c>
      <c r="N53" s="1" t="str">
        <f t="shared" si="115"/>
        <v>1,</v>
      </c>
      <c r="O53" s="1" t="str">
        <f t="shared" si="115"/>
        <v>1,</v>
      </c>
      <c r="P53" s="1" t="str">
        <f t="shared" si="115"/>
        <v>0,</v>
      </c>
      <c r="Q53" s="13"/>
      <c r="S53" s="1" t="str">
        <f>S47&amp;","</f>
        <v>0,</v>
      </c>
      <c r="T53" s="1" t="str">
        <f t="shared" si="116"/>
        <v>1,</v>
      </c>
      <c r="U53" s="1" t="str">
        <f t="shared" si="116"/>
        <v>0,</v>
      </c>
      <c r="V53" s="1" t="str">
        <f t="shared" si="116"/>
        <v>0,</v>
      </c>
      <c r="W53" s="13"/>
      <c r="Y53" s="1" t="str">
        <f>Y47&amp;","</f>
        <v>0,</v>
      </c>
      <c r="Z53" s="1" t="str">
        <f t="shared" si="117"/>
        <v>0,</v>
      </c>
      <c r="AA53" s="1" t="str">
        <f t="shared" si="117"/>
        <v>0,</v>
      </c>
      <c r="AB53" s="1" t="str">
        <f t="shared" si="117"/>
        <v>0,</v>
      </c>
    </row>
    <row r="54" spans="1:28" x14ac:dyDescent="0.2">
      <c r="A54" s="1" t="str">
        <f>A48&amp;","</f>
        <v>1,</v>
      </c>
      <c r="B54" s="1" t="str">
        <f t="shared" si="113"/>
        <v>0,</v>
      </c>
      <c r="C54" s="1" t="str">
        <f t="shared" si="113"/>
        <v>0,</v>
      </c>
      <c r="D54" s="1" t="str">
        <f t="shared" si="113"/>
        <v>0,</v>
      </c>
      <c r="E54" s="13"/>
      <c r="G54" s="1" t="str">
        <f>G48&amp;","</f>
        <v>0,</v>
      </c>
      <c r="H54" s="1" t="str">
        <f t="shared" si="114"/>
        <v>1,</v>
      </c>
      <c r="I54" s="1" t="str">
        <f t="shared" si="114"/>
        <v>0,</v>
      </c>
      <c r="J54" s="1" t="str">
        <f t="shared" si="114"/>
        <v>0,</v>
      </c>
      <c r="K54" s="13"/>
      <c r="M54" s="1" t="str">
        <f>M48&amp;","</f>
        <v>0,</v>
      </c>
      <c r="N54" s="1" t="str">
        <f t="shared" si="115"/>
        <v>0,</v>
      </c>
      <c r="O54" s="1" t="str">
        <f t="shared" si="115"/>
        <v>0,</v>
      </c>
      <c r="P54" s="1" t="str">
        <f t="shared" si="115"/>
        <v>0,</v>
      </c>
      <c r="Q54" s="13"/>
      <c r="S54" s="1" t="str">
        <f>S48&amp;","</f>
        <v>0,</v>
      </c>
      <c r="T54" s="1" t="str">
        <f t="shared" si="116"/>
        <v>1,</v>
      </c>
      <c r="U54" s="1" t="str">
        <f t="shared" si="116"/>
        <v>1,</v>
      </c>
      <c r="V54" s="1" t="str">
        <f t="shared" si="116"/>
        <v>0,</v>
      </c>
      <c r="W54" s="13"/>
      <c r="Y54" s="1" t="str">
        <f>Y48&amp;","</f>
        <v>0,</v>
      </c>
      <c r="Z54" s="1" t="str">
        <f t="shared" si="117"/>
        <v>0,</v>
      </c>
      <c r="AA54" s="1" t="str">
        <f t="shared" si="117"/>
        <v>0,</v>
      </c>
      <c r="AB54" s="1" t="str">
        <f t="shared" si="117"/>
        <v>0,</v>
      </c>
    </row>
    <row r="55" spans="1:28" x14ac:dyDescent="0.2">
      <c r="A55" s="1" t="str">
        <f>A49&amp;","</f>
        <v>0,</v>
      </c>
      <c r="B55" s="1" t="str">
        <f>B49&amp;","</f>
        <v>0,</v>
      </c>
      <c r="C55" s="1" t="str">
        <f>C49&amp;","</f>
        <v>0,</v>
      </c>
      <c r="D55" s="1" t="str">
        <f>D49&amp;"},"</f>
        <v>0},</v>
      </c>
      <c r="E55" s="13"/>
      <c r="G55" s="1" t="str">
        <f>G49&amp;","</f>
        <v>0,</v>
      </c>
      <c r="H55" s="1" t="str">
        <f>H49&amp;","</f>
        <v>0,</v>
      </c>
      <c r="I55" s="1" t="str">
        <f>I49&amp;","</f>
        <v>0,</v>
      </c>
      <c r="J55" s="1" t="str">
        <f>J49&amp;"},"</f>
        <v>0},</v>
      </c>
      <c r="K55" s="13"/>
      <c r="M55" s="1" t="str">
        <f>M49&amp;","</f>
        <v>0,</v>
      </c>
      <c r="N55" s="1" t="str">
        <f>N49&amp;","</f>
        <v>0,</v>
      </c>
      <c r="O55" s="1" t="str">
        <f>O49&amp;","</f>
        <v>0,</v>
      </c>
      <c r="P55" s="1" t="str">
        <f>P49&amp;"},"</f>
        <v>0},</v>
      </c>
      <c r="Q55" s="13"/>
      <c r="S55" s="1" t="str">
        <f>S49&amp;","</f>
        <v>0,</v>
      </c>
      <c r="T55" s="1" t="str">
        <f>T49&amp;","</f>
        <v>0,</v>
      </c>
      <c r="U55" s="1" t="str">
        <f>U49&amp;","</f>
        <v>0,</v>
      </c>
      <c r="V55" s="1" t="str">
        <f>V49&amp;"},"</f>
        <v>0},</v>
      </c>
      <c r="W55" s="13"/>
      <c r="Y55" s="1" t="str">
        <f>Y49&amp;","</f>
        <v>0,</v>
      </c>
      <c r="Z55" s="1" t="str">
        <f>Z49&amp;","</f>
        <v>0,</v>
      </c>
      <c r="AA55" s="1" t="str">
        <f>AA49&amp;","</f>
        <v>0,</v>
      </c>
      <c r="AB55" s="1" t="str">
        <f>AB49&amp;"},"</f>
        <v>0},</v>
      </c>
    </row>
    <row r="56" spans="1:28" ht="12" thickBo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x14ac:dyDescent="0.2">
      <c r="A57" s="5">
        <v>1</v>
      </c>
      <c r="B57" s="6">
        <v>1</v>
      </c>
      <c r="C57" s="6">
        <v>0</v>
      </c>
      <c r="D57" s="7">
        <v>0</v>
      </c>
      <c r="E57" s="14" t="str">
        <f>"{0x" &amp; DEC2HEX(A57+B57*2+C57*4+D57*8) &amp; ","</f>
        <v>{0x3,</v>
      </c>
      <c r="G57" s="2">
        <v>0</v>
      </c>
      <c r="H57" s="2">
        <v>0</v>
      </c>
      <c r="I57" s="2">
        <v>0</v>
      </c>
      <c r="J57" s="2">
        <v>0</v>
      </c>
      <c r="K57" s="14" t="str">
        <f>"{0x" &amp; DEC2HEX(G57+H57*2+I57*4+J57*8) &amp; ","</f>
        <v>{0x0,</v>
      </c>
      <c r="M57" s="2">
        <v>0</v>
      </c>
      <c r="N57" s="2">
        <v>0</v>
      </c>
      <c r="O57" s="2">
        <v>0</v>
      </c>
      <c r="P57" s="2">
        <v>0</v>
      </c>
      <c r="Q57" s="14" t="str">
        <f>"{0x" &amp; DEC2HEX(M57+N57*2+O57*4+P57*8) &amp; ","</f>
        <v>{0x0,</v>
      </c>
      <c r="S57" s="2">
        <v>0</v>
      </c>
      <c r="T57" s="2">
        <v>0</v>
      </c>
      <c r="U57" s="2">
        <v>0</v>
      </c>
      <c r="V57" s="2">
        <v>0</v>
      </c>
      <c r="W57" s="14" t="str">
        <f>"{0x" &amp; DEC2HEX(S57+T57*2+U57*4+V57*8) &amp; ","</f>
        <v>{0x0,</v>
      </c>
      <c r="Y57" s="2">
        <v>0</v>
      </c>
      <c r="Z57" s="2">
        <v>0</v>
      </c>
      <c r="AA57" s="2">
        <v>0</v>
      </c>
      <c r="AB57" s="2">
        <v>0</v>
      </c>
    </row>
    <row r="58" spans="1:28" x14ac:dyDescent="0.2">
      <c r="A58" s="8">
        <v>1</v>
      </c>
      <c r="B58" s="2">
        <v>1</v>
      </c>
      <c r="C58" s="2">
        <v>0</v>
      </c>
      <c r="D58" s="9">
        <v>0</v>
      </c>
      <c r="E58" s="14" t="str">
        <f>"0x" &amp; DEC2HEX(A58+B58*2+C58*4+D58*8) &amp; ","</f>
        <v>0x3,</v>
      </c>
      <c r="G58" s="2">
        <v>0</v>
      </c>
      <c r="H58" s="2">
        <v>0</v>
      </c>
      <c r="I58" s="2">
        <v>0</v>
      </c>
      <c r="J58" s="2">
        <v>0</v>
      </c>
      <c r="K58" s="14" t="str">
        <f>"0x" &amp; DEC2HEX(G58+H58*2+I58*4+J58*8) &amp; ","</f>
        <v>0x0,</v>
      </c>
      <c r="M58" s="2">
        <v>0</v>
      </c>
      <c r="N58" s="2">
        <v>0</v>
      </c>
      <c r="O58" s="2">
        <v>0</v>
      </c>
      <c r="P58" s="2">
        <v>0</v>
      </c>
      <c r="Q58" s="14" t="str">
        <f>"0x" &amp; DEC2HEX(M58+N58*2+O58*4+P58*8) &amp; ","</f>
        <v>0x0,</v>
      </c>
      <c r="S58" s="2">
        <v>0</v>
      </c>
      <c r="T58" s="2">
        <v>0</v>
      </c>
      <c r="U58" s="2">
        <v>0</v>
      </c>
      <c r="V58" s="2">
        <v>0</v>
      </c>
      <c r="W58" s="14" t="str">
        <f>"0x" &amp; DEC2HEX(S58+T58*2+U58*4+V58*8) &amp; ","</f>
        <v>0x0,</v>
      </c>
      <c r="Y58" s="2">
        <v>0</v>
      </c>
      <c r="Z58" s="2">
        <v>0</v>
      </c>
      <c r="AA58" s="2">
        <v>0</v>
      </c>
      <c r="AB58" s="2">
        <v>0</v>
      </c>
    </row>
    <row r="59" spans="1:28" x14ac:dyDescent="0.2">
      <c r="A59" s="8">
        <v>0</v>
      </c>
      <c r="B59" s="2">
        <v>0</v>
      </c>
      <c r="C59" s="2">
        <v>0</v>
      </c>
      <c r="D59" s="9">
        <v>0</v>
      </c>
      <c r="E59" s="14" t="str">
        <f t="shared" ref="E59" si="118">"0x" &amp; DEC2HEX(A59+B59*2+C59*4+D59*8) &amp; ","</f>
        <v>0x0,</v>
      </c>
      <c r="G59" s="2">
        <v>0</v>
      </c>
      <c r="H59" s="2">
        <v>0</v>
      </c>
      <c r="I59" s="2">
        <v>0</v>
      </c>
      <c r="J59" s="2">
        <v>0</v>
      </c>
      <c r="K59" s="14" t="str">
        <f t="shared" ref="K59" si="119">"0x" &amp; DEC2HEX(G59+H59*2+I59*4+J59*8) &amp; ","</f>
        <v>0x0,</v>
      </c>
      <c r="M59" s="2">
        <v>0</v>
      </c>
      <c r="N59" s="2">
        <v>0</v>
      </c>
      <c r="O59" s="2">
        <v>0</v>
      </c>
      <c r="P59" s="2">
        <v>0</v>
      </c>
      <c r="Q59" s="14" t="str">
        <f t="shared" ref="Q59" si="120">"0x" &amp; DEC2HEX(M59+N59*2+O59*4+P59*8) &amp; ","</f>
        <v>0x0,</v>
      </c>
      <c r="S59" s="2">
        <v>0</v>
      </c>
      <c r="T59" s="2">
        <v>0</v>
      </c>
      <c r="U59" s="2">
        <v>0</v>
      </c>
      <c r="V59" s="2">
        <v>0</v>
      </c>
      <c r="W59" s="14" t="str">
        <f t="shared" ref="W59" si="121">"0x" &amp; DEC2HEX(S59+T59*2+U59*4+V59*8) &amp; ","</f>
        <v>0x0,</v>
      </c>
      <c r="Y59" s="2">
        <v>0</v>
      </c>
      <c r="Z59" s="2">
        <v>0</v>
      </c>
      <c r="AA59" s="2">
        <v>0</v>
      </c>
      <c r="AB59" s="2">
        <v>0</v>
      </c>
    </row>
    <row r="60" spans="1:28" ht="12" thickBot="1" x14ac:dyDescent="0.25">
      <c r="A60" s="10">
        <v>0</v>
      </c>
      <c r="B60" s="11">
        <v>0</v>
      </c>
      <c r="C60" s="11">
        <v>0</v>
      </c>
      <c r="D60" s="12">
        <v>0</v>
      </c>
      <c r="E60" s="14" t="str">
        <f>"0x" &amp; DEC2HEX(A60+B60*2+C60*4+D60*8) &amp; "},"</f>
        <v>0x0},</v>
      </c>
      <c r="G60" s="2">
        <v>0</v>
      </c>
      <c r="H60" s="2">
        <v>0</v>
      </c>
      <c r="I60" s="2">
        <v>0</v>
      </c>
      <c r="J60" s="2">
        <v>0</v>
      </c>
      <c r="K60" s="14" t="str">
        <f>"0x" &amp; DEC2HEX(G60+H60*2+I60*4+J60*8) &amp; "},"</f>
        <v>0x0},</v>
      </c>
      <c r="M60" s="2">
        <v>0</v>
      </c>
      <c r="N60" s="2">
        <v>0</v>
      </c>
      <c r="O60" s="2">
        <v>0</v>
      </c>
      <c r="P60" s="2">
        <v>0</v>
      </c>
      <c r="Q60" s="14" t="str">
        <f>"0x" &amp; DEC2HEX(M60+N60*2+O60*4+P60*8) &amp; "},"</f>
        <v>0x0},</v>
      </c>
      <c r="S60" s="2">
        <v>0</v>
      </c>
      <c r="T60" s="2">
        <v>0</v>
      </c>
      <c r="U60" s="2">
        <v>0</v>
      </c>
      <c r="V60" s="2">
        <v>0</v>
      </c>
      <c r="W60" s="14" t="str">
        <f>"0x" &amp; DEC2HEX(S60+T60*2+U60*4+V60*8) &amp; "},"</f>
        <v>0x0},</v>
      </c>
      <c r="Y60" s="2">
        <v>0</v>
      </c>
      <c r="Z60" s="2">
        <v>0</v>
      </c>
      <c r="AA60" s="2">
        <v>0</v>
      </c>
      <c r="AB60" s="2">
        <v>0</v>
      </c>
    </row>
    <row r="61" spans="1:28" x14ac:dyDescent="0.2">
      <c r="A61" s="3" t="str">
        <f>"0x" &amp; DEC2HEX(A60+A59*2+A58*4+A57*8) &amp; ","</f>
        <v>0xC,</v>
      </c>
      <c r="B61" s="3" t="str">
        <f t="shared" ref="B61" si="122">"0x" &amp; DEC2HEX(B60+B59*2+B58*4+B57*8) &amp; ","</f>
        <v>0xC,</v>
      </c>
      <c r="C61" s="3" t="str">
        <f t="shared" ref="C61" si="123">"0x" &amp; DEC2HEX(C60+C59*2+C58*4+C57*8) &amp; ","</f>
        <v>0x0,</v>
      </c>
      <c r="D61" s="3" t="str">
        <f t="shared" ref="D61" si="124">"0x" &amp; DEC2HEX(D60+D59*2+D58*4+D57*8) &amp; ","</f>
        <v>0x0,</v>
      </c>
      <c r="E61" s="3"/>
      <c r="G61" s="3" t="str">
        <f>"0x" &amp; DEC2HEX(G60+G59*2+G58*4+G57*8) &amp; ","</f>
        <v>0x0,</v>
      </c>
      <c r="H61" s="3" t="str">
        <f t="shared" ref="H61" si="125">"0x" &amp; DEC2HEX(H60+H59*2+H58*4+H57*8) &amp; ","</f>
        <v>0x0,</v>
      </c>
      <c r="I61" s="3" t="str">
        <f t="shared" ref="I61" si="126">"0x" &amp; DEC2HEX(I60+I59*2+I58*4+I57*8) &amp; ","</f>
        <v>0x0,</v>
      </c>
      <c r="J61" s="3" t="str">
        <f t="shared" ref="J61" si="127">"0x" &amp; DEC2HEX(J60+J59*2+J58*4+J57*8) &amp; ","</f>
        <v>0x0,</v>
      </c>
      <c r="K61" s="3"/>
      <c r="M61" s="3" t="str">
        <f>"0x" &amp; DEC2HEX(M60+M59*2+M58*4+M57*8) &amp; ","</f>
        <v>0x0,</v>
      </c>
      <c r="N61" s="3" t="str">
        <f t="shared" ref="N61" si="128">"0x" &amp; DEC2HEX(N60+N59*2+N58*4+N57*8) &amp; ","</f>
        <v>0x0,</v>
      </c>
      <c r="O61" s="3" t="str">
        <f t="shared" ref="O61" si="129">"0x" &amp; DEC2HEX(O60+O59*2+O58*4+O57*8) &amp; ","</f>
        <v>0x0,</v>
      </c>
      <c r="P61" s="3" t="str">
        <f t="shared" ref="P61" si="130">"0x" &amp; DEC2HEX(P60+P59*2+P58*4+P57*8) &amp; ","</f>
        <v>0x0,</v>
      </c>
      <c r="Q61" s="3"/>
      <c r="S61" s="3" t="str">
        <f>"0x" &amp; DEC2HEX(S60+S59*2+S58*4+S57*8) &amp; ","</f>
        <v>0x0,</v>
      </c>
      <c r="T61" s="3" t="str">
        <f t="shared" ref="T61" si="131">"0x" &amp; DEC2HEX(T60+T59*2+T58*4+T57*8) &amp; ","</f>
        <v>0x0,</v>
      </c>
      <c r="U61" s="3" t="str">
        <f t="shared" ref="U61" si="132">"0x" &amp; DEC2HEX(U60+U59*2+U58*4+U57*8) &amp; ","</f>
        <v>0x0,</v>
      </c>
      <c r="V61" s="3" t="str">
        <f t="shared" ref="V61" si="133">"0x" &amp; DEC2HEX(V60+V59*2+V58*4+V57*8) &amp; ","</f>
        <v>0x0,</v>
      </c>
      <c r="W61" s="3"/>
      <c r="Y61" s="3" t="str">
        <f>"0x" &amp; DEC2HEX(Y60+Y59*2+Y58*4+Y57*8) &amp; ","</f>
        <v>0x0,</v>
      </c>
      <c r="Z61" s="3" t="str">
        <f t="shared" ref="Z61" si="134">"0x" &amp; DEC2HEX(Z60+Z59*2+Z58*4+Z57*8) &amp; ","</f>
        <v>0x0,</v>
      </c>
      <c r="AA61" s="3" t="str">
        <f t="shared" ref="AA61" si="135">"0x" &amp; DEC2HEX(AA60+AA59*2+AA58*4+AA57*8) &amp; ","</f>
        <v>0x0,</v>
      </c>
      <c r="AB61" s="3" t="str">
        <f t="shared" ref="AB61" si="136">"0x" &amp; DEC2HEX(AB60+AB59*2+AB58*4+AB57*8) &amp; ","</f>
        <v>0x0,</v>
      </c>
    </row>
    <row r="63" spans="1:28" x14ac:dyDescent="0.2">
      <c r="A63" s="1" t="str">
        <f>"{"&amp;A57&amp;","</f>
        <v>{1,</v>
      </c>
      <c r="B63" s="1" t="str">
        <f t="shared" ref="B63:D65" si="137">B57&amp;","</f>
        <v>1,</v>
      </c>
      <c r="C63" s="1" t="str">
        <f t="shared" si="137"/>
        <v>0,</v>
      </c>
      <c r="D63" s="1" t="str">
        <f t="shared" si="137"/>
        <v>0,</v>
      </c>
      <c r="E63" s="13"/>
      <c r="G63" s="1" t="str">
        <f>"{"&amp;G57&amp;","</f>
        <v>{0,</v>
      </c>
      <c r="H63" s="1" t="str">
        <f t="shared" ref="H63:J65" si="138">H57&amp;","</f>
        <v>0,</v>
      </c>
      <c r="I63" s="1" t="str">
        <f t="shared" si="138"/>
        <v>0,</v>
      </c>
      <c r="J63" s="1" t="str">
        <f t="shared" si="138"/>
        <v>0,</v>
      </c>
      <c r="K63" s="13"/>
      <c r="M63" s="1" t="str">
        <f>"{"&amp;M57&amp;","</f>
        <v>{0,</v>
      </c>
      <c r="N63" s="1" t="str">
        <f t="shared" ref="N63:P65" si="139">N57&amp;","</f>
        <v>0,</v>
      </c>
      <c r="O63" s="1" t="str">
        <f t="shared" si="139"/>
        <v>0,</v>
      </c>
      <c r="P63" s="1" t="str">
        <f t="shared" si="139"/>
        <v>0,</v>
      </c>
      <c r="Q63" s="13"/>
      <c r="S63" s="1" t="str">
        <f>"{"&amp;S57&amp;","</f>
        <v>{0,</v>
      </c>
      <c r="T63" s="1" t="str">
        <f t="shared" ref="T63:V65" si="140">T57&amp;","</f>
        <v>0,</v>
      </c>
      <c r="U63" s="1" t="str">
        <f t="shared" si="140"/>
        <v>0,</v>
      </c>
      <c r="V63" s="1" t="str">
        <f t="shared" si="140"/>
        <v>0,</v>
      </c>
      <c r="W63" s="13"/>
      <c r="Y63" s="1" t="str">
        <f>"{"&amp;Y57&amp;","</f>
        <v>{0,</v>
      </c>
      <c r="Z63" s="1" t="str">
        <f t="shared" ref="Z63:AB65" si="141">Z57&amp;","</f>
        <v>0,</v>
      </c>
      <c r="AA63" s="1" t="str">
        <f t="shared" si="141"/>
        <v>0,</v>
      </c>
      <c r="AB63" s="1" t="str">
        <f t="shared" si="141"/>
        <v>0,</v>
      </c>
    </row>
    <row r="64" spans="1:28" x14ac:dyDescent="0.2">
      <c r="A64" s="1" t="str">
        <f>A58&amp;","</f>
        <v>1,</v>
      </c>
      <c r="B64" s="1" t="str">
        <f t="shared" si="137"/>
        <v>1,</v>
      </c>
      <c r="C64" s="1" t="str">
        <f t="shared" si="137"/>
        <v>0,</v>
      </c>
      <c r="D64" s="1" t="str">
        <f t="shared" si="137"/>
        <v>0,</v>
      </c>
      <c r="E64" s="13"/>
      <c r="G64" s="1" t="str">
        <f>G58&amp;","</f>
        <v>0,</v>
      </c>
      <c r="H64" s="1" t="str">
        <f t="shared" si="138"/>
        <v>0,</v>
      </c>
      <c r="I64" s="1" t="str">
        <f t="shared" si="138"/>
        <v>0,</v>
      </c>
      <c r="J64" s="1" t="str">
        <f t="shared" si="138"/>
        <v>0,</v>
      </c>
      <c r="K64" s="13"/>
      <c r="M64" s="1" t="str">
        <f>M58&amp;","</f>
        <v>0,</v>
      </c>
      <c r="N64" s="1" t="str">
        <f t="shared" si="139"/>
        <v>0,</v>
      </c>
      <c r="O64" s="1" t="str">
        <f t="shared" si="139"/>
        <v>0,</v>
      </c>
      <c r="P64" s="1" t="str">
        <f t="shared" si="139"/>
        <v>0,</v>
      </c>
      <c r="Q64" s="13"/>
      <c r="S64" s="1" t="str">
        <f>S58&amp;","</f>
        <v>0,</v>
      </c>
      <c r="T64" s="1" t="str">
        <f t="shared" si="140"/>
        <v>0,</v>
      </c>
      <c r="U64" s="1" t="str">
        <f t="shared" si="140"/>
        <v>0,</v>
      </c>
      <c r="V64" s="1" t="str">
        <f t="shared" si="140"/>
        <v>0,</v>
      </c>
      <c r="W64" s="13"/>
      <c r="Y64" s="1" t="str">
        <f>Y58&amp;","</f>
        <v>0,</v>
      </c>
      <c r="Z64" s="1" t="str">
        <f t="shared" si="141"/>
        <v>0,</v>
      </c>
      <c r="AA64" s="1" t="str">
        <f t="shared" si="141"/>
        <v>0,</v>
      </c>
      <c r="AB64" s="1" t="str">
        <f t="shared" si="141"/>
        <v>0,</v>
      </c>
    </row>
    <row r="65" spans="1:28" x14ac:dyDescent="0.2">
      <c r="A65" s="1" t="str">
        <f>A59&amp;","</f>
        <v>0,</v>
      </c>
      <c r="B65" s="1" t="str">
        <f t="shared" si="137"/>
        <v>0,</v>
      </c>
      <c r="C65" s="1" t="str">
        <f t="shared" si="137"/>
        <v>0,</v>
      </c>
      <c r="D65" s="1" t="str">
        <f t="shared" si="137"/>
        <v>0,</v>
      </c>
      <c r="E65" s="13"/>
      <c r="G65" s="1" t="str">
        <f>G59&amp;","</f>
        <v>0,</v>
      </c>
      <c r="H65" s="1" t="str">
        <f t="shared" si="138"/>
        <v>0,</v>
      </c>
      <c r="I65" s="1" t="str">
        <f t="shared" si="138"/>
        <v>0,</v>
      </c>
      <c r="J65" s="1" t="str">
        <f t="shared" si="138"/>
        <v>0,</v>
      </c>
      <c r="K65" s="13"/>
      <c r="M65" s="1" t="str">
        <f>M59&amp;","</f>
        <v>0,</v>
      </c>
      <c r="N65" s="1" t="str">
        <f t="shared" si="139"/>
        <v>0,</v>
      </c>
      <c r="O65" s="1" t="str">
        <f t="shared" si="139"/>
        <v>0,</v>
      </c>
      <c r="P65" s="1" t="str">
        <f t="shared" si="139"/>
        <v>0,</v>
      </c>
      <c r="Q65" s="13"/>
      <c r="S65" s="1" t="str">
        <f>S59&amp;","</f>
        <v>0,</v>
      </c>
      <c r="T65" s="1" t="str">
        <f t="shared" si="140"/>
        <v>0,</v>
      </c>
      <c r="U65" s="1" t="str">
        <f t="shared" si="140"/>
        <v>0,</v>
      </c>
      <c r="V65" s="1" t="str">
        <f t="shared" si="140"/>
        <v>0,</v>
      </c>
      <c r="W65" s="13"/>
      <c r="Y65" s="1" t="str">
        <f>Y59&amp;","</f>
        <v>0,</v>
      </c>
      <c r="Z65" s="1" t="str">
        <f t="shared" si="141"/>
        <v>0,</v>
      </c>
      <c r="AA65" s="1" t="str">
        <f t="shared" si="141"/>
        <v>0,</v>
      </c>
      <c r="AB65" s="1" t="str">
        <f t="shared" si="141"/>
        <v>0,</v>
      </c>
    </row>
    <row r="66" spans="1:28" x14ac:dyDescent="0.2">
      <c r="A66" s="1" t="str">
        <f>A60&amp;","</f>
        <v>0,</v>
      </c>
      <c r="B66" s="1" t="str">
        <f>B60&amp;","</f>
        <v>0,</v>
      </c>
      <c r="C66" s="1" t="str">
        <f>C60&amp;","</f>
        <v>0,</v>
      </c>
      <c r="D66" s="1" t="str">
        <f>D60&amp;"},"</f>
        <v>0},</v>
      </c>
      <c r="E66" s="13"/>
      <c r="G66" s="1" t="str">
        <f>G60&amp;","</f>
        <v>0,</v>
      </c>
      <c r="H66" s="1" t="str">
        <f>H60&amp;","</f>
        <v>0,</v>
      </c>
      <c r="I66" s="1" t="str">
        <f>I60&amp;","</f>
        <v>0,</v>
      </c>
      <c r="J66" s="1" t="str">
        <f>J60&amp;"},"</f>
        <v>0},</v>
      </c>
      <c r="K66" s="13"/>
      <c r="M66" s="1" t="str">
        <f>M60&amp;","</f>
        <v>0,</v>
      </c>
      <c r="N66" s="1" t="str">
        <f>N60&amp;","</f>
        <v>0,</v>
      </c>
      <c r="O66" s="1" t="str">
        <f>O60&amp;","</f>
        <v>0,</v>
      </c>
      <c r="P66" s="1" t="str">
        <f>P60&amp;"},"</f>
        <v>0},</v>
      </c>
      <c r="Q66" s="13"/>
      <c r="S66" s="1" t="str">
        <f>S60&amp;","</f>
        <v>0,</v>
      </c>
      <c r="T66" s="1" t="str">
        <f>T60&amp;","</f>
        <v>0,</v>
      </c>
      <c r="U66" s="1" t="str">
        <f>U60&amp;","</f>
        <v>0,</v>
      </c>
      <c r="V66" s="1" t="str">
        <f>V60&amp;"},"</f>
        <v>0},</v>
      </c>
      <c r="W66" s="13"/>
      <c r="Y66" s="1" t="str">
        <f>Y60&amp;","</f>
        <v>0,</v>
      </c>
      <c r="Z66" s="1" t="str">
        <f>Z60&amp;","</f>
        <v>0,</v>
      </c>
      <c r="AA66" s="1" t="str">
        <f>AA60&amp;","</f>
        <v>0,</v>
      </c>
      <c r="AB66" s="1" t="str">
        <f>AB60&amp;"},"</f>
        <v>0},</v>
      </c>
    </row>
    <row r="67" spans="1:28" x14ac:dyDescent="0.2">
      <c r="A67" s="13"/>
      <c r="B67" s="13"/>
      <c r="C67" s="13"/>
      <c r="D67" s="13"/>
      <c r="E67" s="13"/>
      <c r="G67" s="13"/>
      <c r="H67" s="13"/>
      <c r="I67" s="13"/>
      <c r="J67" s="13"/>
      <c r="K67" s="13"/>
      <c r="M67" s="13"/>
      <c r="N67" s="13"/>
      <c r="O67" s="13"/>
      <c r="P67" s="13"/>
      <c r="Q67" s="13"/>
      <c r="S67" s="13"/>
      <c r="T67" s="13"/>
      <c r="U67" s="13"/>
      <c r="V67" s="13"/>
      <c r="W67" s="13"/>
      <c r="Y67" s="13"/>
      <c r="Z67" s="13"/>
      <c r="AA67" s="13"/>
      <c r="AB67" s="13"/>
    </row>
    <row r="68" spans="1:28" ht="12" thickBo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1:28" x14ac:dyDescent="0.2">
      <c r="A69" s="5">
        <v>0</v>
      </c>
      <c r="B69" s="6">
        <v>0</v>
      </c>
      <c r="C69" s="6">
        <v>0</v>
      </c>
      <c r="D69" s="7">
        <v>0</v>
      </c>
      <c r="E69" s="14" t="str">
        <f>"{0x" &amp; DEC2HEX(A69+B69*2+C69*4+D69*8) &amp; ","</f>
        <v>{0x0,</v>
      </c>
      <c r="G69" s="5">
        <v>0</v>
      </c>
      <c r="H69" s="6">
        <v>0</v>
      </c>
      <c r="I69" s="6">
        <v>0</v>
      </c>
      <c r="J69" s="7">
        <v>0</v>
      </c>
      <c r="K69" s="14" t="str">
        <f>"{0x" &amp; DEC2HEX(G69+H69*2+I69*4+J69*8) &amp; ","</f>
        <v>{0x0,</v>
      </c>
      <c r="M69" s="5">
        <v>0</v>
      </c>
      <c r="N69" s="6">
        <v>1</v>
      </c>
      <c r="O69" s="6">
        <v>0</v>
      </c>
      <c r="P69" s="7">
        <v>0</v>
      </c>
      <c r="Q69" s="14" t="str">
        <f>"{0x" &amp; DEC2HEX(M69+N69*2+O69*4+P69*8) &amp; ","</f>
        <v>{0x2,</v>
      </c>
      <c r="S69" s="5">
        <v>0</v>
      </c>
      <c r="T69" s="6">
        <v>1</v>
      </c>
      <c r="U69" s="6">
        <v>0</v>
      </c>
      <c r="V69" s="7">
        <v>0</v>
      </c>
      <c r="W69" s="14" t="str">
        <f>"{0x" &amp; DEC2HEX(S69+T69*2+U69*4+V69*8) &amp; ","</f>
        <v>{0x2,</v>
      </c>
      <c r="Y69" s="2">
        <v>0</v>
      </c>
      <c r="Z69" s="2">
        <v>0</v>
      </c>
      <c r="AA69" s="2">
        <v>0</v>
      </c>
      <c r="AB69" s="2">
        <v>0</v>
      </c>
    </row>
    <row r="70" spans="1:28" x14ac:dyDescent="0.2">
      <c r="A70" s="8">
        <v>0</v>
      </c>
      <c r="B70" s="2">
        <v>1</v>
      </c>
      <c r="C70" s="2">
        <v>1</v>
      </c>
      <c r="D70" s="9">
        <v>0</v>
      </c>
      <c r="E70" s="14" t="str">
        <f>"0x" &amp; DEC2HEX(A70+B70*2+C70*4+D70*8) &amp; ","</f>
        <v>0x6,</v>
      </c>
      <c r="G70" s="8">
        <v>1</v>
      </c>
      <c r="H70" s="2">
        <v>1</v>
      </c>
      <c r="I70" s="2">
        <v>0</v>
      </c>
      <c r="J70" s="9">
        <v>0</v>
      </c>
      <c r="K70" s="14" t="str">
        <f>"0x" &amp; DEC2HEX(G70+H70*2+I70*4+J70*8) &amp; ","</f>
        <v>0x3,</v>
      </c>
      <c r="M70" s="8">
        <v>1</v>
      </c>
      <c r="N70" s="2">
        <v>1</v>
      </c>
      <c r="O70" s="2">
        <v>0</v>
      </c>
      <c r="P70" s="9">
        <v>0</v>
      </c>
      <c r="Q70" s="14" t="str">
        <f>"0x" &amp; DEC2HEX(M70+N70*2+O70*4+P70*8) &amp; ","</f>
        <v>0x3,</v>
      </c>
      <c r="S70" s="8">
        <v>0</v>
      </c>
      <c r="T70" s="2">
        <v>1</v>
      </c>
      <c r="U70" s="2">
        <v>1</v>
      </c>
      <c r="V70" s="9">
        <v>0</v>
      </c>
      <c r="W70" s="14" t="str">
        <f>"0x" &amp; DEC2HEX(S70+T70*2+U70*4+V70*8) &amp; ","</f>
        <v>0x6,</v>
      </c>
      <c r="Y70" s="2">
        <v>0</v>
      </c>
      <c r="Z70" s="2">
        <v>0</v>
      </c>
      <c r="AA70" s="2">
        <v>0</v>
      </c>
      <c r="AB70" s="2">
        <v>0</v>
      </c>
    </row>
    <row r="71" spans="1:28" x14ac:dyDescent="0.2">
      <c r="A71" s="8">
        <v>0</v>
      </c>
      <c r="B71" s="2">
        <v>1</v>
      </c>
      <c r="C71" s="2">
        <v>0</v>
      </c>
      <c r="D71" s="9">
        <v>0</v>
      </c>
      <c r="E71" s="14" t="str">
        <f t="shared" ref="E71" si="142">"0x" &amp; DEC2HEX(A71+B71*2+C71*4+D71*8) &amp; ","</f>
        <v>0x2,</v>
      </c>
      <c r="G71" s="8">
        <v>0</v>
      </c>
      <c r="H71" s="2">
        <v>1</v>
      </c>
      <c r="I71" s="2">
        <v>0</v>
      </c>
      <c r="J71" s="9">
        <v>0</v>
      </c>
      <c r="K71" s="14" t="str">
        <f t="shared" ref="K71" si="143">"0x" &amp; DEC2HEX(G71+H71*2+I71*4+J71*8) &amp; ","</f>
        <v>0x2,</v>
      </c>
      <c r="M71" s="8">
        <v>0</v>
      </c>
      <c r="N71" s="2">
        <v>0</v>
      </c>
      <c r="O71" s="2">
        <v>0</v>
      </c>
      <c r="P71" s="9">
        <v>0</v>
      </c>
      <c r="Q71" s="14" t="str">
        <f t="shared" ref="Q71" si="144">"0x" &amp; DEC2HEX(M71+N71*2+O71*4+P71*8) &amp; ","</f>
        <v>0x0,</v>
      </c>
      <c r="S71" s="8">
        <v>0</v>
      </c>
      <c r="T71" s="2">
        <v>0</v>
      </c>
      <c r="U71" s="2">
        <v>0</v>
      </c>
      <c r="V71" s="9">
        <v>0</v>
      </c>
      <c r="W71" s="14" t="str">
        <f t="shared" ref="W71" si="145">"0x" &amp; DEC2HEX(S71+T71*2+U71*4+V71*8) &amp; ","</f>
        <v>0x0,</v>
      </c>
      <c r="Y71" s="2">
        <v>0</v>
      </c>
      <c r="Z71" s="2">
        <v>0</v>
      </c>
      <c r="AA71" s="2">
        <v>0</v>
      </c>
      <c r="AB71" s="2">
        <v>0</v>
      </c>
    </row>
    <row r="72" spans="1:28" ht="12" thickBot="1" x14ac:dyDescent="0.25">
      <c r="A72" s="10">
        <v>0</v>
      </c>
      <c r="B72" s="11">
        <v>0</v>
      </c>
      <c r="C72" s="11">
        <v>0</v>
      </c>
      <c r="D72" s="12">
        <v>0</v>
      </c>
      <c r="E72" s="14" t="str">
        <f>"0x" &amp; DEC2HEX(A72+B72*2+C72*4+D72*8) &amp; "},"</f>
        <v>0x0},</v>
      </c>
      <c r="G72" s="10">
        <v>0</v>
      </c>
      <c r="H72" s="11">
        <v>0</v>
      </c>
      <c r="I72" s="11">
        <v>0</v>
      </c>
      <c r="J72" s="12">
        <v>0</v>
      </c>
      <c r="K72" s="14" t="str">
        <f>"0x" &amp; DEC2HEX(G72+H72*2+I72*4+J72*8) &amp; "},"</f>
        <v>0x0},</v>
      </c>
      <c r="M72" s="10">
        <v>0</v>
      </c>
      <c r="N72" s="11">
        <v>0</v>
      </c>
      <c r="O72" s="11">
        <v>0</v>
      </c>
      <c r="P72" s="12">
        <v>0</v>
      </c>
      <c r="Q72" s="14" t="str">
        <f>"0x" &amp; DEC2HEX(M72+N72*2+O72*4+P72*8) &amp; "},"</f>
        <v>0x0},</v>
      </c>
      <c r="S72" s="10">
        <v>0</v>
      </c>
      <c r="T72" s="11">
        <v>0</v>
      </c>
      <c r="U72" s="11">
        <v>0</v>
      </c>
      <c r="V72" s="12">
        <v>0</v>
      </c>
      <c r="W72" s="14" t="str">
        <f>"0x" &amp; DEC2HEX(S72+T72*2+U72*4+V72*8) &amp; "},"</f>
        <v>0x0},</v>
      </c>
      <c r="Y72" s="2">
        <v>0</v>
      </c>
      <c r="Z72" s="2">
        <v>0</v>
      </c>
      <c r="AA72" s="2">
        <v>0</v>
      </c>
      <c r="AB72" s="2">
        <v>0</v>
      </c>
    </row>
    <row r="73" spans="1:28" x14ac:dyDescent="0.2">
      <c r="A73" s="3" t="str">
        <f>"0x" &amp; DEC2HEX(A72+A71*2+A70*4+A69*8) &amp; ","</f>
        <v>0x0,</v>
      </c>
      <c r="B73" s="3" t="str">
        <f t="shared" ref="B73" si="146">"0x" &amp; DEC2HEX(B72+B71*2+B70*4+B69*8) &amp; ","</f>
        <v>0x6,</v>
      </c>
      <c r="C73" s="3" t="str">
        <f t="shared" ref="C73" si="147">"0x" &amp; DEC2HEX(C72+C71*2+C70*4+C69*8) &amp; ","</f>
        <v>0x4,</v>
      </c>
      <c r="D73" s="3" t="str">
        <f t="shared" ref="D73" si="148">"0x" &amp; DEC2HEX(D72+D71*2+D70*4+D69*8) &amp; ","</f>
        <v>0x0,</v>
      </c>
      <c r="E73" s="3"/>
      <c r="G73" s="3" t="str">
        <f>"0x" &amp; DEC2HEX(G72+G71*2+G70*4+G69*8) &amp; ","</f>
        <v>0x4,</v>
      </c>
      <c r="H73" s="3" t="str">
        <f t="shared" ref="H73" si="149">"0x" &amp; DEC2HEX(H72+H71*2+H70*4+H69*8) &amp; ","</f>
        <v>0x6,</v>
      </c>
      <c r="I73" s="3" t="str">
        <f t="shared" ref="I73" si="150">"0x" &amp; DEC2HEX(I72+I71*2+I70*4+I69*8) &amp; ","</f>
        <v>0x0,</v>
      </c>
      <c r="J73" s="3" t="str">
        <f t="shared" ref="J73" si="151">"0x" &amp; DEC2HEX(J72+J71*2+J70*4+J69*8) &amp; ","</f>
        <v>0x0,</v>
      </c>
      <c r="K73" s="3"/>
      <c r="M73" s="3" t="str">
        <f>"0x" &amp; DEC2HEX(M72+M71*2+M70*4+M69*8) &amp; ","</f>
        <v>0x4,</v>
      </c>
      <c r="N73" s="3" t="str">
        <f t="shared" ref="N73" si="152">"0x" &amp; DEC2HEX(N72+N71*2+N70*4+N69*8) &amp; ","</f>
        <v>0xC,</v>
      </c>
      <c r="O73" s="3" t="str">
        <f t="shared" ref="O73" si="153">"0x" &amp; DEC2HEX(O72+O71*2+O70*4+O69*8) &amp; ","</f>
        <v>0x0,</v>
      </c>
      <c r="P73" s="3" t="str">
        <f t="shared" ref="P73" si="154">"0x" &amp; DEC2HEX(P72+P71*2+P70*4+P69*8) &amp; ","</f>
        <v>0x0,</v>
      </c>
      <c r="Q73" s="3"/>
      <c r="S73" s="3" t="str">
        <f>"0x" &amp; DEC2HEX(S72+S71*2+S70*4+S69*8) &amp; ","</f>
        <v>0x0,</v>
      </c>
      <c r="T73" s="3" t="str">
        <f t="shared" ref="T73" si="155">"0x" &amp; DEC2HEX(T72+T71*2+T70*4+T69*8) &amp; ","</f>
        <v>0xC,</v>
      </c>
      <c r="U73" s="3" t="str">
        <f t="shared" ref="U73" si="156">"0x" &amp; DEC2HEX(U72+U71*2+U70*4+U69*8) &amp; ","</f>
        <v>0x4,</v>
      </c>
      <c r="V73" s="3" t="str">
        <f t="shared" ref="V73" si="157">"0x" &amp; DEC2HEX(V72+V71*2+V70*4+V69*8) &amp; ","</f>
        <v>0x0,</v>
      </c>
      <c r="W73" s="3"/>
      <c r="Y73" s="3" t="str">
        <f>"0x" &amp; DEC2HEX(Y72+Y71*2+Y70*4+Y69*8) &amp; ","</f>
        <v>0x0,</v>
      </c>
      <c r="Z73" s="3" t="str">
        <f t="shared" ref="Z73" si="158">"0x" &amp; DEC2HEX(Z72+Z71*2+Z70*4+Z69*8) &amp; ","</f>
        <v>0x0,</v>
      </c>
      <c r="AA73" s="3" t="str">
        <f t="shared" ref="AA73" si="159">"0x" &amp; DEC2HEX(AA72+AA71*2+AA70*4+AA69*8) &amp; ","</f>
        <v>0x0,</v>
      </c>
      <c r="AB73" s="3" t="str">
        <f t="shared" ref="AB73" si="160">"0x" &amp; DEC2HEX(AB72+AB71*2+AB70*4+AB69*8) &amp; ","</f>
        <v>0x0,</v>
      </c>
    </row>
    <row r="75" spans="1:28" x14ac:dyDescent="0.2">
      <c r="A75" s="1" t="str">
        <f>"{"&amp;A69&amp;","</f>
        <v>{0,</v>
      </c>
      <c r="B75" s="1" t="str">
        <f t="shared" ref="B75:D77" si="161">B69&amp;","</f>
        <v>0,</v>
      </c>
      <c r="C75" s="1" t="str">
        <f t="shared" si="161"/>
        <v>0,</v>
      </c>
      <c r="D75" s="1" t="str">
        <f t="shared" si="161"/>
        <v>0,</v>
      </c>
      <c r="E75" s="13"/>
      <c r="G75" s="1" t="str">
        <f>"{"&amp;G69&amp;","</f>
        <v>{0,</v>
      </c>
      <c r="H75" s="1" t="str">
        <f t="shared" ref="H75:J77" si="162">H69&amp;","</f>
        <v>0,</v>
      </c>
      <c r="I75" s="1" t="str">
        <f t="shared" si="162"/>
        <v>0,</v>
      </c>
      <c r="J75" s="1" t="str">
        <f t="shared" si="162"/>
        <v>0,</v>
      </c>
      <c r="K75" s="13"/>
      <c r="M75" s="1" t="str">
        <f>"{"&amp;M69&amp;","</f>
        <v>{0,</v>
      </c>
      <c r="N75" s="1" t="str">
        <f t="shared" ref="N75:P77" si="163">N69&amp;","</f>
        <v>1,</v>
      </c>
      <c r="O75" s="1" t="str">
        <f t="shared" si="163"/>
        <v>0,</v>
      </c>
      <c r="P75" s="1" t="str">
        <f t="shared" si="163"/>
        <v>0,</v>
      </c>
      <c r="Q75" s="13"/>
      <c r="S75" s="1" t="str">
        <f>"{"&amp;S69&amp;","</f>
        <v>{0,</v>
      </c>
      <c r="T75" s="1" t="str">
        <f t="shared" ref="T75:V77" si="164">T69&amp;","</f>
        <v>1,</v>
      </c>
      <c r="U75" s="1" t="str">
        <f t="shared" si="164"/>
        <v>0,</v>
      </c>
      <c r="V75" s="1" t="str">
        <f t="shared" si="164"/>
        <v>0,</v>
      </c>
      <c r="W75" s="13"/>
      <c r="Y75" s="1" t="str">
        <f>"{"&amp;Y69&amp;","</f>
        <v>{0,</v>
      </c>
      <c r="Z75" s="1" t="str">
        <f t="shared" ref="Z75:AB77" si="165">Z69&amp;","</f>
        <v>0,</v>
      </c>
      <c r="AA75" s="1" t="str">
        <f t="shared" si="165"/>
        <v>0,</v>
      </c>
      <c r="AB75" s="1" t="str">
        <f t="shared" si="165"/>
        <v>0,</v>
      </c>
    </row>
    <row r="76" spans="1:28" x14ac:dyDescent="0.2">
      <c r="A76" s="1" t="str">
        <f>A70&amp;","</f>
        <v>0,</v>
      </c>
      <c r="B76" s="1" t="str">
        <f t="shared" si="161"/>
        <v>1,</v>
      </c>
      <c r="C76" s="1" t="str">
        <f t="shared" si="161"/>
        <v>1,</v>
      </c>
      <c r="D76" s="1" t="str">
        <f t="shared" si="161"/>
        <v>0,</v>
      </c>
      <c r="E76" s="13"/>
      <c r="G76" s="1" t="str">
        <f>G70&amp;","</f>
        <v>1,</v>
      </c>
      <c r="H76" s="1" t="str">
        <f t="shared" si="162"/>
        <v>1,</v>
      </c>
      <c r="I76" s="1" t="str">
        <f t="shared" si="162"/>
        <v>0,</v>
      </c>
      <c r="J76" s="1" t="str">
        <f t="shared" si="162"/>
        <v>0,</v>
      </c>
      <c r="K76" s="13"/>
      <c r="M76" s="1" t="str">
        <f>M70&amp;","</f>
        <v>1,</v>
      </c>
      <c r="N76" s="1" t="str">
        <f t="shared" si="163"/>
        <v>1,</v>
      </c>
      <c r="O76" s="1" t="str">
        <f t="shared" si="163"/>
        <v>0,</v>
      </c>
      <c r="P76" s="1" t="str">
        <f t="shared" si="163"/>
        <v>0,</v>
      </c>
      <c r="Q76" s="13"/>
      <c r="S76" s="1" t="str">
        <f>S70&amp;","</f>
        <v>0,</v>
      </c>
      <c r="T76" s="1" t="str">
        <f t="shared" si="164"/>
        <v>1,</v>
      </c>
      <c r="U76" s="1" t="str">
        <f t="shared" si="164"/>
        <v>1,</v>
      </c>
      <c r="V76" s="1" t="str">
        <f t="shared" si="164"/>
        <v>0,</v>
      </c>
      <c r="W76" s="13"/>
      <c r="Y76" s="1" t="str">
        <f>Y70&amp;","</f>
        <v>0,</v>
      </c>
      <c r="Z76" s="1" t="str">
        <f t="shared" si="165"/>
        <v>0,</v>
      </c>
      <c r="AA76" s="1" t="str">
        <f t="shared" si="165"/>
        <v>0,</v>
      </c>
      <c r="AB76" s="1" t="str">
        <f t="shared" si="165"/>
        <v>0,</v>
      </c>
    </row>
    <row r="77" spans="1:28" x14ac:dyDescent="0.2">
      <c r="A77" s="1" t="str">
        <f>A71&amp;","</f>
        <v>0,</v>
      </c>
      <c r="B77" s="1" t="str">
        <f t="shared" si="161"/>
        <v>1,</v>
      </c>
      <c r="C77" s="1" t="str">
        <f t="shared" si="161"/>
        <v>0,</v>
      </c>
      <c r="D77" s="1" t="str">
        <f t="shared" si="161"/>
        <v>0,</v>
      </c>
      <c r="E77" s="13"/>
      <c r="G77" s="1" t="str">
        <f>G71&amp;","</f>
        <v>0,</v>
      </c>
      <c r="H77" s="1" t="str">
        <f t="shared" si="162"/>
        <v>1,</v>
      </c>
      <c r="I77" s="1" t="str">
        <f t="shared" si="162"/>
        <v>0,</v>
      </c>
      <c r="J77" s="1" t="str">
        <f t="shared" si="162"/>
        <v>0,</v>
      </c>
      <c r="K77" s="13"/>
      <c r="M77" s="1" t="str">
        <f>M71&amp;","</f>
        <v>0,</v>
      </c>
      <c r="N77" s="1" t="str">
        <f t="shared" si="163"/>
        <v>0,</v>
      </c>
      <c r="O77" s="1" t="str">
        <f t="shared" si="163"/>
        <v>0,</v>
      </c>
      <c r="P77" s="1" t="str">
        <f t="shared" si="163"/>
        <v>0,</v>
      </c>
      <c r="Q77" s="13"/>
      <c r="S77" s="1" t="str">
        <f>S71&amp;","</f>
        <v>0,</v>
      </c>
      <c r="T77" s="1" t="str">
        <f t="shared" si="164"/>
        <v>0,</v>
      </c>
      <c r="U77" s="1" t="str">
        <f t="shared" si="164"/>
        <v>0,</v>
      </c>
      <c r="V77" s="1" t="str">
        <f t="shared" si="164"/>
        <v>0,</v>
      </c>
      <c r="W77" s="13"/>
      <c r="Y77" s="1" t="str">
        <f>Y71&amp;","</f>
        <v>0,</v>
      </c>
      <c r="Z77" s="1" t="str">
        <f t="shared" si="165"/>
        <v>0,</v>
      </c>
      <c r="AA77" s="1" t="str">
        <f t="shared" si="165"/>
        <v>0,</v>
      </c>
      <c r="AB77" s="1" t="str">
        <f t="shared" si="165"/>
        <v>0,</v>
      </c>
    </row>
    <row r="78" spans="1:28" x14ac:dyDescent="0.2">
      <c r="A78" s="1" t="str">
        <f>A72&amp;","</f>
        <v>0,</v>
      </c>
      <c r="B78" s="1" t="str">
        <f>B72&amp;","</f>
        <v>0,</v>
      </c>
      <c r="C78" s="1" t="str">
        <f>C72&amp;","</f>
        <v>0,</v>
      </c>
      <c r="D78" s="1" t="str">
        <f>D72&amp;"},"</f>
        <v>0},</v>
      </c>
      <c r="E78" s="13"/>
      <c r="G78" s="1" t="str">
        <f>G72&amp;","</f>
        <v>0,</v>
      </c>
      <c r="H78" s="1" t="str">
        <f>H72&amp;","</f>
        <v>0,</v>
      </c>
      <c r="I78" s="1" t="str">
        <f>I72&amp;","</f>
        <v>0,</v>
      </c>
      <c r="J78" s="1" t="str">
        <f>J72&amp;"},"</f>
        <v>0},</v>
      </c>
      <c r="K78" s="13"/>
      <c r="M78" s="1" t="str">
        <f>M72&amp;","</f>
        <v>0,</v>
      </c>
      <c r="N78" s="1" t="str">
        <f>N72&amp;","</f>
        <v>0,</v>
      </c>
      <c r="O78" s="1" t="str">
        <f>O72&amp;","</f>
        <v>0,</v>
      </c>
      <c r="P78" s="1" t="str">
        <f>P72&amp;"},"</f>
        <v>0},</v>
      </c>
      <c r="Q78" s="13"/>
      <c r="S78" s="1" t="str">
        <f>S72&amp;","</f>
        <v>0,</v>
      </c>
      <c r="T78" s="1" t="str">
        <f>T72&amp;","</f>
        <v>0,</v>
      </c>
      <c r="U78" s="1" t="str">
        <f>U72&amp;","</f>
        <v>0,</v>
      </c>
      <c r="V78" s="1" t="str">
        <f>V72&amp;"},"</f>
        <v>0},</v>
      </c>
      <c r="W78" s="13"/>
      <c r="Y78" s="1" t="str">
        <f>Y72&amp;","</f>
        <v>0,</v>
      </c>
      <c r="Z78" s="1" t="str">
        <f>Z72&amp;","</f>
        <v>0,</v>
      </c>
      <c r="AA78" s="1" t="str">
        <f>AA72&amp;","</f>
        <v>0,</v>
      </c>
      <c r="AB78" s="1" t="str">
        <f>AB72&amp;"},"</f>
        <v>0},</v>
      </c>
    </row>
    <row r="79" spans="1:28" x14ac:dyDescent="0.2">
      <c r="A79" s="13"/>
      <c r="B79" s="13"/>
      <c r="C79" s="13"/>
      <c r="D79" s="13"/>
      <c r="E79" s="13"/>
      <c r="G79" s="13"/>
      <c r="H79" s="13"/>
      <c r="I79" s="13"/>
      <c r="J79" s="13"/>
      <c r="K79" s="13"/>
      <c r="M79" s="13"/>
      <c r="N79" s="13"/>
      <c r="O79" s="13"/>
      <c r="P79" s="13"/>
      <c r="Q79" s="13"/>
      <c r="S79" s="13"/>
      <c r="T79" s="13"/>
      <c r="U79" s="13"/>
      <c r="V79" s="13"/>
      <c r="W79" s="13"/>
      <c r="Y79" s="13"/>
      <c r="Z79" s="13"/>
      <c r="AA79" s="13"/>
      <c r="AB79" s="13"/>
    </row>
    <row r="80" spans="1:28" ht="12" thickBo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 x14ac:dyDescent="0.2">
      <c r="A81" s="5">
        <v>0</v>
      </c>
      <c r="B81" s="6">
        <v>1</v>
      </c>
      <c r="C81" s="6">
        <v>0</v>
      </c>
      <c r="D81" s="7">
        <v>0</v>
      </c>
      <c r="E81" s="14" t="str">
        <f>"{0x" &amp; DEC2HEX(A81+B81*2+C81*4+D81*8) &amp; ","</f>
        <v>{0x2,</v>
      </c>
      <c r="G81" s="2">
        <v>0</v>
      </c>
      <c r="H81" s="2">
        <v>0</v>
      </c>
      <c r="I81" s="2">
        <v>0</v>
      </c>
      <c r="J81" s="2">
        <v>0</v>
      </c>
      <c r="K81" s="14" t="str">
        <f>"{0x" &amp; DEC2HEX(G81+H81*2+I81*4+J81*8) &amp; ","</f>
        <v>{0x0,</v>
      </c>
      <c r="M81" s="2">
        <v>0</v>
      </c>
      <c r="N81" s="2">
        <v>0</v>
      </c>
      <c r="O81" s="2">
        <v>0</v>
      </c>
      <c r="P81" s="2">
        <v>0</v>
      </c>
      <c r="Q81" s="14" t="str">
        <f>"{0x" &amp; DEC2HEX(M81+N81*2+O81*4+P81*8) &amp; ","</f>
        <v>{0x0,</v>
      </c>
      <c r="S81" s="2">
        <v>0</v>
      </c>
      <c r="T81" s="2">
        <v>0</v>
      </c>
      <c r="U81" s="2">
        <v>0</v>
      </c>
      <c r="V81" s="2">
        <v>0</v>
      </c>
      <c r="W81" s="14" t="str">
        <f>"{0x" &amp; DEC2HEX(S81+T81*2+U81*4+V81*8) &amp; ","</f>
        <v>{0x0,</v>
      </c>
      <c r="Y81" s="2">
        <v>0</v>
      </c>
      <c r="Z81" s="2">
        <v>0</v>
      </c>
      <c r="AA81" s="2">
        <v>0</v>
      </c>
      <c r="AB81" s="2">
        <v>0</v>
      </c>
    </row>
    <row r="82" spans="1:28" x14ac:dyDescent="0.2">
      <c r="A82" s="8">
        <v>1</v>
      </c>
      <c r="B82" s="2">
        <v>1</v>
      </c>
      <c r="C82" s="2">
        <v>1</v>
      </c>
      <c r="D82" s="9">
        <v>0</v>
      </c>
      <c r="E82" s="14" t="str">
        <f>"0x" &amp; DEC2HEX(A82+B82*2+C82*4+D82*8) &amp; ","</f>
        <v>0x7,</v>
      </c>
      <c r="G82" s="2">
        <v>0</v>
      </c>
      <c r="H82" s="2">
        <v>0</v>
      </c>
      <c r="I82" s="2">
        <v>0</v>
      </c>
      <c r="J82" s="2">
        <v>0</v>
      </c>
      <c r="K82" s="14" t="str">
        <f>"0x" &amp; DEC2HEX(G82+H82*2+I82*4+J82*8) &amp; ","</f>
        <v>0x0,</v>
      </c>
      <c r="M82" s="2">
        <v>0</v>
      </c>
      <c r="N82" s="2">
        <v>0</v>
      </c>
      <c r="O82" s="2">
        <v>0</v>
      </c>
      <c r="P82" s="2">
        <v>0</v>
      </c>
      <c r="Q82" s="14" t="str">
        <f>"0x" &amp; DEC2HEX(M82+N82*2+O82*4+P82*8) &amp; ","</f>
        <v>0x0,</v>
      </c>
      <c r="S82" s="2">
        <v>0</v>
      </c>
      <c r="T82" s="2">
        <v>0</v>
      </c>
      <c r="U82" s="2">
        <v>0</v>
      </c>
      <c r="V82" s="2">
        <v>0</v>
      </c>
      <c r="W82" s="14" t="str">
        <f>"0x" &amp; DEC2HEX(S82+T82*2+U82*4+V82*8) &amp; ","</f>
        <v>0x0,</v>
      </c>
      <c r="Y82" s="2">
        <v>0</v>
      </c>
      <c r="Z82" s="2">
        <v>0</v>
      </c>
      <c r="AA82" s="2">
        <v>0</v>
      </c>
      <c r="AB82" s="2">
        <v>0</v>
      </c>
    </row>
    <row r="83" spans="1:28" x14ac:dyDescent="0.2">
      <c r="A83" s="8">
        <v>0</v>
      </c>
      <c r="B83" s="2">
        <v>1</v>
      </c>
      <c r="C83" s="2">
        <v>0</v>
      </c>
      <c r="D83" s="9">
        <v>0</v>
      </c>
      <c r="E83" s="14" t="str">
        <f t="shared" ref="E83" si="166">"0x" &amp; DEC2HEX(A83+B83*2+C83*4+D83*8) &amp; ","</f>
        <v>0x2,</v>
      </c>
      <c r="G83" s="2">
        <v>0</v>
      </c>
      <c r="H83" s="2">
        <v>0</v>
      </c>
      <c r="I83" s="2">
        <v>0</v>
      </c>
      <c r="J83" s="2">
        <v>0</v>
      </c>
      <c r="K83" s="14" t="str">
        <f t="shared" ref="K83" si="167">"0x" &amp; DEC2HEX(G83+H83*2+I83*4+J83*8) &amp; ","</f>
        <v>0x0,</v>
      </c>
      <c r="M83" s="2">
        <v>0</v>
      </c>
      <c r="N83" s="2">
        <v>0</v>
      </c>
      <c r="O83" s="2">
        <v>0</v>
      </c>
      <c r="P83" s="2">
        <v>0</v>
      </c>
      <c r="Q83" s="14" t="str">
        <f t="shared" ref="Q83" si="168">"0x" &amp; DEC2HEX(M83+N83*2+O83*4+P83*8) &amp; ","</f>
        <v>0x0,</v>
      </c>
      <c r="S83" s="2">
        <v>0</v>
      </c>
      <c r="T83" s="2">
        <v>0</v>
      </c>
      <c r="U83" s="2">
        <v>0</v>
      </c>
      <c r="V83" s="2">
        <v>0</v>
      </c>
      <c r="W83" s="14" t="str">
        <f t="shared" ref="W83" si="169">"0x" &amp; DEC2HEX(S83+T83*2+U83*4+V83*8) &amp; ","</f>
        <v>0x0,</v>
      </c>
      <c r="Y83" s="2">
        <v>0</v>
      </c>
      <c r="Z83" s="2">
        <v>0</v>
      </c>
      <c r="AA83" s="2">
        <v>0</v>
      </c>
      <c r="AB83" s="2">
        <v>0</v>
      </c>
    </row>
    <row r="84" spans="1:28" ht="12" thickBot="1" x14ac:dyDescent="0.25">
      <c r="A84" s="10">
        <v>0</v>
      </c>
      <c r="B84" s="11">
        <v>0</v>
      </c>
      <c r="C84" s="11">
        <v>0</v>
      </c>
      <c r="D84" s="12">
        <v>0</v>
      </c>
      <c r="E84" s="14" t="str">
        <f>"0x" &amp; DEC2HEX(A84+B84*2+C84*4+D84*8) &amp; "},"</f>
        <v>0x0},</v>
      </c>
      <c r="G84" s="2">
        <v>0</v>
      </c>
      <c r="H84" s="2">
        <v>0</v>
      </c>
      <c r="I84" s="2">
        <v>0</v>
      </c>
      <c r="J84" s="2">
        <v>0</v>
      </c>
      <c r="K84" s="14" t="str">
        <f>"0x" &amp; DEC2HEX(G84+H84*2+I84*4+J84*8) &amp; "},"</f>
        <v>0x0},</v>
      </c>
      <c r="M84" s="2">
        <v>0</v>
      </c>
      <c r="N84" s="2">
        <v>0</v>
      </c>
      <c r="O84" s="2">
        <v>0</v>
      </c>
      <c r="P84" s="2">
        <v>0</v>
      </c>
      <c r="Q84" s="14" t="str">
        <f>"0x" &amp; DEC2HEX(M84+N84*2+O84*4+P84*8) &amp; "},"</f>
        <v>0x0},</v>
      </c>
      <c r="S84" s="2">
        <v>0</v>
      </c>
      <c r="T84" s="2">
        <v>0</v>
      </c>
      <c r="U84" s="2">
        <v>0</v>
      </c>
      <c r="V84" s="2">
        <v>0</v>
      </c>
      <c r="W84" s="14" t="str">
        <f>"0x" &amp; DEC2HEX(S84+T84*2+U84*4+V84*8) &amp; "},"</f>
        <v>0x0},</v>
      </c>
      <c r="Y84" s="2">
        <v>0</v>
      </c>
      <c r="Z84" s="2">
        <v>0</v>
      </c>
      <c r="AA84" s="2">
        <v>0</v>
      </c>
      <c r="AB84" s="2">
        <v>0</v>
      </c>
    </row>
    <row r="85" spans="1:28" x14ac:dyDescent="0.2">
      <c r="A85" s="3" t="str">
        <f>"0x" &amp; DEC2HEX(A84+A83*2+A82*4+A81*8) &amp; ","</f>
        <v>0x4,</v>
      </c>
      <c r="B85" s="3" t="str">
        <f t="shared" ref="B85" si="170">"0x" &amp; DEC2HEX(B84+B83*2+B82*4+B81*8) &amp; ","</f>
        <v>0xE,</v>
      </c>
      <c r="C85" s="3" t="str">
        <f t="shared" ref="C85" si="171">"0x" &amp; DEC2HEX(C84+C83*2+C82*4+C81*8) &amp; ","</f>
        <v>0x4,</v>
      </c>
      <c r="D85" s="3" t="str">
        <f t="shared" ref="D85" si="172">"0x" &amp; DEC2HEX(D84+D83*2+D82*4+D81*8) &amp; ","</f>
        <v>0x0,</v>
      </c>
      <c r="E85" s="3"/>
      <c r="G85" s="3" t="str">
        <f>"0x" &amp; DEC2HEX(G84+G83*2+G82*4+G81*8) &amp; ","</f>
        <v>0x0,</v>
      </c>
      <c r="H85" s="3" t="str">
        <f t="shared" ref="H85" si="173">"0x" &amp; DEC2HEX(H84+H83*2+H82*4+H81*8) &amp; ","</f>
        <v>0x0,</v>
      </c>
      <c r="I85" s="3" t="str">
        <f t="shared" ref="I85" si="174">"0x" &amp; DEC2HEX(I84+I83*2+I82*4+I81*8) &amp; ","</f>
        <v>0x0,</v>
      </c>
      <c r="J85" s="3" t="str">
        <f t="shared" ref="J85" si="175">"0x" &amp; DEC2HEX(J84+J83*2+J82*4+J81*8) &amp; ","</f>
        <v>0x0,</v>
      </c>
      <c r="K85" s="3"/>
      <c r="M85" s="3" t="str">
        <f>"0x" &amp; DEC2HEX(M84+M83*2+M82*4+M81*8) &amp; ","</f>
        <v>0x0,</v>
      </c>
      <c r="N85" s="3" t="str">
        <f t="shared" ref="N85" si="176">"0x" &amp; DEC2HEX(N84+N83*2+N82*4+N81*8) &amp; ","</f>
        <v>0x0,</v>
      </c>
      <c r="O85" s="3" t="str">
        <f t="shared" ref="O85" si="177">"0x" &amp; DEC2HEX(O84+O83*2+O82*4+O81*8) &amp; ","</f>
        <v>0x0,</v>
      </c>
      <c r="P85" s="3" t="str">
        <f t="shared" ref="P85" si="178">"0x" &amp; DEC2HEX(P84+P83*2+P82*4+P81*8) &amp; ","</f>
        <v>0x0,</v>
      </c>
      <c r="Q85" s="3"/>
      <c r="S85" s="3" t="str">
        <f>"0x" &amp; DEC2HEX(S84+S83*2+S82*4+S81*8) &amp; ","</f>
        <v>0x0,</v>
      </c>
      <c r="T85" s="3" t="str">
        <f t="shared" ref="T85" si="179">"0x" &amp; DEC2HEX(T84+T83*2+T82*4+T81*8) &amp; ","</f>
        <v>0x0,</v>
      </c>
      <c r="U85" s="3" t="str">
        <f t="shared" ref="U85" si="180">"0x" &amp; DEC2HEX(U84+U83*2+U82*4+U81*8) &amp; ","</f>
        <v>0x0,</v>
      </c>
      <c r="V85" s="3" t="str">
        <f t="shared" ref="V85" si="181">"0x" &amp; DEC2HEX(V84+V83*2+V82*4+V81*8) &amp; ","</f>
        <v>0x0,</v>
      </c>
      <c r="W85" s="3"/>
      <c r="Y85" s="3" t="str">
        <f>"0x" &amp; DEC2HEX(Y84+Y83*2+Y82*4+Y81*8) &amp; ","</f>
        <v>0x0,</v>
      </c>
      <c r="Z85" s="3" t="str">
        <f t="shared" ref="Z85" si="182">"0x" &amp; DEC2HEX(Z84+Z83*2+Z82*4+Z81*8) &amp; ","</f>
        <v>0x0,</v>
      </c>
      <c r="AA85" s="3" t="str">
        <f t="shared" ref="AA85" si="183">"0x" &amp; DEC2HEX(AA84+AA83*2+AA82*4+AA81*8) &amp; ","</f>
        <v>0x0,</v>
      </c>
      <c r="AB85" s="3" t="str">
        <f t="shared" ref="AB85" si="184">"0x" &amp; DEC2HEX(AB84+AB83*2+AB82*4+AB81*8) &amp; ","</f>
        <v>0x0,</v>
      </c>
    </row>
    <row r="87" spans="1:28" x14ac:dyDescent="0.2">
      <c r="A87" s="1" t="str">
        <f>"{"&amp;A81&amp;","</f>
        <v>{0,</v>
      </c>
      <c r="B87" s="1" t="str">
        <f t="shared" ref="B87:D89" si="185">B81&amp;","</f>
        <v>1,</v>
      </c>
      <c r="C87" s="1" t="str">
        <f t="shared" si="185"/>
        <v>0,</v>
      </c>
      <c r="D87" s="1" t="str">
        <f t="shared" si="185"/>
        <v>0,</v>
      </c>
      <c r="E87" s="13"/>
      <c r="G87" s="1" t="str">
        <f>"{"&amp;G81&amp;","</f>
        <v>{0,</v>
      </c>
      <c r="H87" s="1" t="str">
        <f t="shared" ref="H87:J89" si="186">H81&amp;","</f>
        <v>0,</v>
      </c>
      <c r="I87" s="1" t="str">
        <f t="shared" si="186"/>
        <v>0,</v>
      </c>
      <c r="J87" s="1" t="str">
        <f t="shared" si="186"/>
        <v>0,</v>
      </c>
      <c r="K87" s="13"/>
      <c r="M87" s="1" t="str">
        <f>"{"&amp;M81&amp;","</f>
        <v>{0,</v>
      </c>
      <c r="N87" s="1" t="str">
        <f t="shared" ref="N87:P89" si="187">N81&amp;","</f>
        <v>0,</v>
      </c>
      <c r="O87" s="1" t="str">
        <f t="shared" si="187"/>
        <v>0,</v>
      </c>
      <c r="P87" s="1" t="str">
        <f t="shared" si="187"/>
        <v>0,</v>
      </c>
      <c r="Q87" s="13"/>
      <c r="S87" s="1" t="str">
        <f>"{"&amp;S81&amp;","</f>
        <v>{0,</v>
      </c>
      <c r="T87" s="1" t="str">
        <f t="shared" ref="T87:V89" si="188">T81&amp;","</f>
        <v>0,</v>
      </c>
      <c r="U87" s="1" t="str">
        <f t="shared" si="188"/>
        <v>0,</v>
      </c>
      <c r="V87" s="1" t="str">
        <f t="shared" si="188"/>
        <v>0,</v>
      </c>
      <c r="W87" s="13"/>
      <c r="Y87" s="1" t="str">
        <f>"{"&amp;Y81&amp;","</f>
        <v>{0,</v>
      </c>
      <c r="Z87" s="1" t="str">
        <f t="shared" ref="Z87:AB89" si="189">Z81&amp;","</f>
        <v>0,</v>
      </c>
      <c r="AA87" s="1" t="str">
        <f t="shared" si="189"/>
        <v>0,</v>
      </c>
      <c r="AB87" s="1" t="str">
        <f t="shared" si="189"/>
        <v>0,</v>
      </c>
    </row>
    <row r="88" spans="1:28" x14ac:dyDescent="0.2">
      <c r="A88" s="1" t="str">
        <f>A82&amp;","</f>
        <v>1,</v>
      </c>
      <c r="B88" s="1" t="str">
        <f t="shared" si="185"/>
        <v>1,</v>
      </c>
      <c r="C88" s="1" t="str">
        <f t="shared" si="185"/>
        <v>1,</v>
      </c>
      <c r="D88" s="1" t="str">
        <f t="shared" si="185"/>
        <v>0,</v>
      </c>
      <c r="E88" s="13"/>
      <c r="G88" s="1" t="str">
        <f>G82&amp;","</f>
        <v>0,</v>
      </c>
      <c r="H88" s="1" t="str">
        <f t="shared" si="186"/>
        <v>0,</v>
      </c>
      <c r="I88" s="1" t="str">
        <f t="shared" si="186"/>
        <v>0,</v>
      </c>
      <c r="J88" s="1" t="str">
        <f t="shared" si="186"/>
        <v>0,</v>
      </c>
      <c r="K88" s="13"/>
      <c r="M88" s="1" t="str">
        <f>M82&amp;","</f>
        <v>0,</v>
      </c>
      <c r="N88" s="1" t="str">
        <f t="shared" si="187"/>
        <v>0,</v>
      </c>
      <c r="O88" s="1" t="str">
        <f t="shared" si="187"/>
        <v>0,</v>
      </c>
      <c r="P88" s="1" t="str">
        <f t="shared" si="187"/>
        <v>0,</v>
      </c>
      <c r="Q88" s="13"/>
      <c r="S88" s="1" t="str">
        <f>S82&amp;","</f>
        <v>0,</v>
      </c>
      <c r="T88" s="1" t="str">
        <f t="shared" si="188"/>
        <v>0,</v>
      </c>
      <c r="U88" s="1" t="str">
        <f t="shared" si="188"/>
        <v>0,</v>
      </c>
      <c r="V88" s="1" t="str">
        <f t="shared" si="188"/>
        <v>0,</v>
      </c>
      <c r="W88" s="13"/>
      <c r="Y88" s="1" t="str">
        <f>Y82&amp;","</f>
        <v>0,</v>
      </c>
      <c r="Z88" s="1" t="str">
        <f t="shared" si="189"/>
        <v>0,</v>
      </c>
      <c r="AA88" s="1" t="str">
        <f t="shared" si="189"/>
        <v>0,</v>
      </c>
      <c r="AB88" s="1" t="str">
        <f t="shared" si="189"/>
        <v>0,</v>
      </c>
    </row>
    <row r="89" spans="1:28" x14ac:dyDescent="0.2">
      <c r="A89" s="1" t="str">
        <f>A83&amp;","</f>
        <v>0,</v>
      </c>
      <c r="B89" s="1" t="str">
        <f t="shared" si="185"/>
        <v>1,</v>
      </c>
      <c r="C89" s="1" t="str">
        <f t="shared" si="185"/>
        <v>0,</v>
      </c>
      <c r="D89" s="1" t="str">
        <f t="shared" si="185"/>
        <v>0,</v>
      </c>
      <c r="E89" s="13"/>
      <c r="G89" s="1" t="str">
        <f>G83&amp;","</f>
        <v>0,</v>
      </c>
      <c r="H89" s="1" t="str">
        <f t="shared" si="186"/>
        <v>0,</v>
      </c>
      <c r="I89" s="1" t="str">
        <f t="shared" si="186"/>
        <v>0,</v>
      </c>
      <c r="J89" s="1" t="str">
        <f t="shared" si="186"/>
        <v>0,</v>
      </c>
      <c r="K89" s="13"/>
      <c r="M89" s="1" t="str">
        <f>M83&amp;","</f>
        <v>0,</v>
      </c>
      <c r="N89" s="1" t="str">
        <f t="shared" si="187"/>
        <v>0,</v>
      </c>
      <c r="O89" s="1" t="str">
        <f t="shared" si="187"/>
        <v>0,</v>
      </c>
      <c r="P89" s="1" t="str">
        <f t="shared" si="187"/>
        <v>0,</v>
      </c>
      <c r="Q89" s="13"/>
      <c r="S89" s="1" t="str">
        <f>S83&amp;","</f>
        <v>0,</v>
      </c>
      <c r="T89" s="1" t="str">
        <f t="shared" si="188"/>
        <v>0,</v>
      </c>
      <c r="U89" s="1" t="str">
        <f t="shared" si="188"/>
        <v>0,</v>
      </c>
      <c r="V89" s="1" t="str">
        <f t="shared" si="188"/>
        <v>0,</v>
      </c>
      <c r="W89" s="13"/>
      <c r="Y89" s="1" t="str">
        <f>Y83&amp;","</f>
        <v>0,</v>
      </c>
      <c r="Z89" s="1" t="str">
        <f t="shared" si="189"/>
        <v>0,</v>
      </c>
      <c r="AA89" s="1" t="str">
        <f t="shared" si="189"/>
        <v>0,</v>
      </c>
      <c r="AB89" s="1" t="str">
        <f t="shared" si="189"/>
        <v>0,</v>
      </c>
    </row>
    <row r="90" spans="1:28" x14ac:dyDescent="0.2">
      <c r="A90" s="1" t="str">
        <f>A84&amp;","</f>
        <v>0,</v>
      </c>
      <c r="B90" s="1" t="str">
        <f>B84&amp;","</f>
        <v>0,</v>
      </c>
      <c r="C90" s="1" t="str">
        <f>C84&amp;","</f>
        <v>0,</v>
      </c>
      <c r="D90" s="1" t="str">
        <f>D84&amp;"},"</f>
        <v>0},</v>
      </c>
      <c r="E90" s="13"/>
      <c r="G90" s="1" t="str">
        <f>G84&amp;","</f>
        <v>0,</v>
      </c>
      <c r="H90" s="1" t="str">
        <f>H84&amp;","</f>
        <v>0,</v>
      </c>
      <c r="I90" s="1" t="str">
        <f>I84&amp;","</f>
        <v>0,</v>
      </c>
      <c r="J90" s="1" t="str">
        <f>J84&amp;"},"</f>
        <v>0},</v>
      </c>
      <c r="K90" s="13"/>
      <c r="M90" s="1" t="str">
        <f>M84&amp;","</f>
        <v>0,</v>
      </c>
      <c r="N90" s="1" t="str">
        <f>N84&amp;","</f>
        <v>0,</v>
      </c>
      <c r="O90" s="1" t="str">
        <f>O84&amp;","</f>
        <v>0,</v>
      </c>
      <c r="P90" s="1" t="str">
        <f>P84&amp;"},"</f>
        <v>0},</v>
      </c>
      <c r="Q90" s="13"/>
      <c r="S90" s="1" t="str">
        <f>S84&amp;","</f>
        <v>0,</v>
      </c>
      <c r="T90" s="1" t="str">
        <f>T84&amp;","</f>
        <v>0,</v>
      </c>
      <c r="U90" s="1" t="str">
        <f>U84&amp;","</f>
        <v>0,</v>
      </c>
      <c r="V90" s="1" t="str">
        <f>V84&amp;"},"</f>
        <v>0},</v>
      </c>
      <c r="W90" s="13"/>
      <c r="Y90" s="1" t="str">
        <f>Y84&amp;","</f>
        <v>0,</v>
      </c>
      <c r="Z90" s="1" t="str">
        <f>Z84&amp;","</f>
        <v>0,</v>
      </c>
      <c r="AA90" s="1" t="str">
        <f>AA84&amp;","</f>
        <v>0,</v>
      </c>
      <c r="AB90" s="1" t="str">
        <f>AB84&amp;"},"</f>
        <v>0},</v>
      </c>
    </row>
    <row r="91" spans="1:28" x14ac:dyDescent="0.2">
      <c r="A91" s="13"/>
      <c r="B91" s="13"/>
      <c r="C91" s="13"/>
      <c r="D91" s="13"/>
      <c r="E91" s="13"/>
      <c r="G91" s="13"/>
      <c r="H91" s="13"/>
      <c r="I91" s="13"/>
      <c r="J91" s="13"/>
      <c r="K91" s="13"/>
      <c r="M91" s="13"/>
      <c r="N91" s="13"/>
      <c r="O91" s="13"/>
      <c r="P91" s="13"/>
      <c r="Q91" s="13"/>
      <c r="S91" s="13"/>
      <c r="T91" s="13"/>
      <c r="U91" s="13"/>
      <c r="V91" s="13"/>
      <c r="W91" s="13"/>
      <c r="Y91" s="13"/>
      <c r="Z91" s="13"/>
      <c r="AA91" s="13"/>
      <c r="AB91" s="13"/>
    </row>
    <row r="92" spans="1:28" ht="12" thickBo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x14ac:dyDescent="0.2">
      <c r="A93" s="5">
        <v>1</v>
      </c>
      <c r="B93" s="6">
        <v>1</v>
      </c>
      <c r="C93" s="6">
        <v>1</v>
      </c>
      <c r="D93" s="7">
        <v>0</v>
      </c>
      <c r="E93" s="14" t="str">
        <f>"{0x" &amp; DEC2HEX(A93+B93*2+C93*4+D93*8) &amp; ","</f>
        <v>{0x7,</v>
      </c>
      <c r="G93" s="5">
        <v>0</v>
      </c>
      <c r="H93" s="6">
        <v>0</v>
      </c>
      <c r="I93" s="6">
        <v>1</v>
      </c>
      <c r="J93" s="7">
        <v>0</v>
      </c>
      <c r="K93" s="14" t="str">
        <f>"{0x" &amp; DEC2HEX(G93+H93*2+I93*4+J93*8) &amp; ","</f>
        <v>{0x4,</v>
      </c>
      <c r="M93" s="5">
        <v>0</v>
      </c>
      <c r="N93" s="6">
        <v>1</v>
      </c>
      <c r="O93" s="6">
        <v>0</v>
      </c>
      <c r="P93" s="7">
        <v>0</v>
      </c>
      <c r="Q93" s="14" t="str">
        <f>"{0x" &amp; DEC2HEX(M93+N93*2+O93*4+P93*8) &amp; ","</f>
        <v>{0x2,</v>
      </c>
      <c r="S93" s="5">
        <v>1</v>
      </c>
      <c r="T93" s="6">
        <v>0</v>
      </c>
      <c r="U93" s="6">
        <v>0</v>
      </c>
      <c r="V93" s="7">
        <v>0</v>
      </c>
      <c r="W93" s="14" t="str">
        <f>"{0x" &amp; DEC2HEX(S93+T93*2+U93*4+V93*8) &amp; ","</f>
        <v>{0x1,</v>
      </c>
      <c r="Y93" s="2">
        <v>0</v>
      </c>
      <c r="Z93" s="2">
        <v>0</v>
      </c>
      <c r="AA93" s="2">
        <v>0</v>
      </c>
      <c r="AB93" s="2">
        <v>0</v>
      </c>
    </row>
    <row r="94" spans="1:28" x14ac:dyDescent="0.2">
      <c r="A94" s="8">
        <v>0</v>
      </c>
      <c r="B94" s="2">
        <v>1</v>
      </c>
      <c r="C94" s="2">
        <v>0</v>
      </c>
      <c r="D94" s="9">
        <v>0</v>
      </c>
      <c r="E94" s="14" t="str">
        <f>"0x" &amp; DEC2HEX(A94+B94*2+C94*4+D94*8) &amp; ","</f>
        <v>0x2,</v>
      </c>
      <c r="G94" s="8">
        <v>1</v>
      </c>
      <c r="H94" s="2">
        <v>1</v>
      </c>
      <c r="I94" s="2">
        <v>1</v>
      </c>
      <c r="J94" s="9">
        <v>0</v>
      </c>
      <c r="K94" s="14" t="str">
        <f>"0x" &amp; DEC2HEX(G94+H94*2+I94*4+J94*8) &amp; ","</f>
        <v>0x7,</v>
      </c>
      <c r="M94" s="8">
        <v>0</v>
      </c>
      <c r="N94" s="2">
        <v>1</v>
      </c>
      <c r="O94" s="2">
        <v>0</v>
      </c>
      <c r="P94" s="9">
        <v>0</v>
      </c>
      <c r="Q94" s="14" t="str">
        <f>"0x" &amp; DEC2HEX(M94+N94*2+O94*4+P94*8) &amp; ","</f>
        <v>0x2,</v>
      </c>
      <c r="S94" s="8">
        <v>1</v>
      </c>
      <c r="T94" s="2">
        <v>1</v>
      </c>
      <c r="U94" s="2">
        <v>1</v>
      </c>
      <c r="V94" s="9">
        <v>0</v>
      </c>
      <c r="W94" s="14" t="str">
        <f>"0x" &amp; DEC2HEX(S94+T94*2+U94*4+V94*8) &amp; ","</f>
        <v>0x7,</v>
      </c>
      <c r="Y94" s="2">
        <v>0</v>
      </c>
      <c r="Z94" s="2">
        <v>0</v>
      </c>
      <c r="AA94" s="2">
        <v>0</v>
      </c>
      <c r="AB94" s="2">
        <v>0</v>
      </c>
    </row>
    <row r="95" spans="1:28" x14ac:dyDescent="0.2">
      <c r="A95" s="8">
        <v>0</v>
      </c>
      <c r="B95" s="2">
        <v>1</v>
      </c>
      <c r="C95" s="2">
        <v>0</v>
      </c>
      <c r="D95" s="9">
        <v>0</v>
      </c>
      <c r="E95" s="14" t="str">
        <f t="shared" ref="E95" si="190">"0x" &amp; DEC2HEX(A95+B95*2+C95*4+D95*8) &amp; ","</f>
        <v>0x2,</v>
      </c>
      <c r="G95" s="8">
        <v>0</v>
      </c>
      <c r="H95" s="2">
        <v>0</v>
      </c>
      <c r="I95" s="2">
        <v>1</v>
      </c>
      <c r="J95" s="9">
        <v>0</v>
      </c>
      <c r="K95" s="14" t="str">
        <f t="shared" ref="K95" si="191">"0x" &amp; DEC2HEX(G95+H95*2+I95*4+J95*8) &amp; ","</f>
        <v>0x4,</v>
      </c>
      <c r="M95" s="8">
        <v>1</v>
      </c>
      <c r="N95" s="2">
        <v>1</v>
      </c>
      <c r="O95" s="2">
        <v>1</v>
      </c>
      <c r="P95" s="9">
        <v>0</v>
      </c>
      <c r="Q95" s="14" t="str">
        <f t="shared" ref="Q95" si="192">"0x" &amp; DEC2HEX(M95+N95*2+O95*4+P95*8) &amp; ","</f>
        <v>0x7,</v>
      </c>
      <c r="S95" s="8">
        <v>1</v>
      </c>
      <c r="T95" s="2">
        <v>0</v>
      </c>
      <c r="U95" s="2">
        <v>0</v>
      </c>
      <c r="V95" s="9">
        <v>0</v>
      </c>
      <c r="W95" s="14" t="str">
        <f t="shared" ref="W95" si="193">"0x" &amp; DEC2HEX(S95+T95*2+U95*4+V95*8) &amp; ","</f>
        <v>0x1,</v>
      </c>
      <c r="Y95" s="2">
        <v>0</v>
      </c>
      <c r="Z95" s="2">
        <v>0</v>
      </c>
      <c r="AA95" s="2">
        <v>0</v>
      </c>
      <c r="AB95" s="2">
        <v>0</v>
      </c>
    </row>
    <row r="96" spans="1:28" ht="12" thickBot="1" x14ac:dyDescent="0.25">
      <c r="A96" s="10">
        <v>0</v>
      </c>
      <c r="B96" s="11">
        <v>0</v>
      </c>
      <c r="C96" s="11">
        <v>0</v>
      </c>
      <c r="D96" s="12">
        <v>0</v>
      </c>
      <c r="E96" s="14" t="str">
        <f>"0x" &amp; DEC2HEX(A96+B96*2+C96*4+D96*8) &amp; "},"</f>
        <v>0x0},</v>
      </c>
      <c r="G96" s="10">
        <v>0</v>
      </c>
      <c r="H96" s="11">
        <v>0</v>
      </c>
      <c r="I96" s="11">
        <v>0</v>
      </c>
      <c r="J96" s="12">
        <v>0</v>
      </c>
      <c r="K96" s="14" t="str">
        <f>"0x" &amp; DEC2HEX(G96+H96*2+I96*4+J96*8) &amp; "},"</f>
        <v>0x0},</v>
      </c>
      <c r="M96" s="10">
        <v>0</v>
      </c>
      <c r="N96" s="11">
        <v>0</v>
      </c>
      <c r="O96" s="11">
        <v>0</v>
      </c>
      <c r="P96" s="12">
        <v>0</v>
      </c>
      <c r="Q96" s="14" t="str">
        <f>"0x" &amp; DEC2HEX(M96+N96*2+O96*4+P96*8) &amp; "},"</f>
        <v>0x0},</v>
      </c>
      <c r="S96" s="10">
        <v>0</v>
      </c>
      <c r="T96" s="11">
        <v>0</v>
      </c>
      <c r="U96" s="11">
        <v>0</v>
      </c>
      <c r="V96" s="12">
        <v>0</v>
      </c>
      <c r="W96" s="14" t="str">
        <f>"0x" &amp; DEC2HEX(S96+T96*2+U96*4+V96*8) &amp; "},"</f>
        <v>0x0},</v>
      </c>
      <c r="Y96" s="2">
        <v>0</v>
      </c>
      <c r="Z96" s="2">
        <v>0</v>
      </c>
      <c r="AA96" s="2">
        <v>0</v>
      </c>
      <c r="AB96" s="2">
        <v>0</v>
      </c>
    </row>
    <row r="97" spans="1:28" x14ac:dyDescent="0.2">
      <c r="A97" s="3" t="str">
        <f>"0x" &amp; DEC2HEX(A96+A95*2+A94*4+A93*8) &amp; ","</f>
        <v>0x8,</v>
      </c>
      <c r="B97" s="3" t="str">
        <f t="shared" ref="B97" si="194">"0x" &amp; DEC2HEX(B96+B95*2+B94*4+B93*8) &amp; ","</f>
        <v>0xE,</v>
      </c>
      <c r="C97" s="3" t="str">
        <f t="shared" ref="C97" si="195">"0x" &amp; DEC2HEX(C96+C95*2+C94*4+C93*8) &amp; ","</f>
        <v>0x8,</v>
      </c>
      <c r="D97" s="3" t="str">
        <f t="shared" ref="D97" si="196">"0x" &amp; DEC2HEX(D96+D95*2+D94*4+D93*8) &amp; ","</f>
        <v>0x0,</v>
      </c>
      <c r="E97" s="3"/>
      <c r="G97" s="3" t="str">
        <f>"0x" &amp; DEC2HEX(G96+G95*2+G94*4+G93*8) &amp; ","</f>
        <v>0x4,</v>
      </c>
      <c r="H97" s="3" t="str">
        <f t="shared" ref="H97" si="197">"0x" &amp; DEC2HEX(H96+H95*2+H94*4+H93*8) &amp; ","</f>
        <v>0x4,</v>
      </c>
      <c r="I97" s="3" t="str">
        <f t="shared" ref="I97" si="198">"0x" &amp; DEC2HEX(I96+I95*2+I94*4+I93*8) &amp; ","</f>
        <v>0xE,</v>
      </c>
      <c r="J97" s="3" t="str">
        <f t="shared" ref="J97" si="199">"0x" &amp; DEC2HEX(J96+J95*2+J94*4+J93*8) &amp; ","</f>
        <v>0x0,</v>
      </c>
      <c r="K97" s="3"/>
      <c r="M97" s="3" t="str">
        <f>"0x" &amp; DEC2HEX(M96+M95*2+M94*4+M93*8) &amp; ","</f>
        <v>0x2,</v>
      </c>
      <c r="N97" s="3" t="str">
        <f t="shared" ref="N97" si="200">"0x" &amp; DEC2HEX(N96+N95*2+N94*4+N93*8) &amp; ","</f>
        <v>0xE,</v>
      </c>
      <c r="O97" s="3" t="str">
        <f t="shared" ref="O97" si="201">"0x" &amp; DEC2HEX(O96+O95*2+O94*4+O93*8) &amp; ","</f>
        <v>0x2,</v>
      </c>
      <c r="P97" s="3" t="str">
        <f t="shared" ref="P97" si="202">"0x" &amp; DEC2HEX(P96+P95*2+P94*4+P93*8) &amp; ","</f>
        <v>0x0,</v>
      </c>
      <c r="Q97" s="3"/>
      <c r="S97" s="3" t="str">
        <f>"0x" &amp; DEC2HEX(S96+S95*2+S94*4+S93*8) &amp; ","</f>
        <v>0xE,</v>
      </c>
      <c r="T97" s="3" t="str">
        <f t="shared" ref="T97" si="203">"0x" &amp; DEC2HEX(T96+T95*2+T94*4+T93*8) &amp; ","</f>
        <v>0x4,</v>
      </c>
      <c r="U97" s="3" t="str">
        <f t="shared" ref="U97" si="204">"0x" &amp; DEC2HEX(U96+U95*2+U94*4+U93*8) &amp; ","</f>
        <v>0x4,</v>
      </c>
      <c r="V97" s="3" t="str">
        <f t="shared" ref="V97" si="205">"0x" &amp; DEC2HEX(V96+V95*2+V94*4+V93*8) &amp; ","</f>
        <v>0x0,</v>
      </c>
      <c r="W97" s="3"/>
      <c r="Y97" s="3" t="str">
        <f>"0x" &amp; DEC2HEX(Y96+Y95*2+Y94*4+Y93*8) &amp; ","</f>
        <v>0x0,</v>
      </c>
      <c r="Z97" s="3" t="str">
        <f t="shared" ref="Z97" si="206">"0x" &amp; DEC2HEX(Z96+Z95*2+Z94*4+Z93*8) &amp; ","</f>
        <v>0x0,</v>
      </c>
      <c r="AA97" s="3" t="str">
        <f t="shared" ref="AA97" si="207">"0x" &amp; DEC2HEX(AA96+AA95*2+AA94*4+AA93*8) &amp; ","</f>
        <v>0x0,</v>
      </c>
      <c r="AB97" s="3" t="str">
        <f t="shared" ref="AB97" si="208">"0x" &amp; DEC2HEX(AB96+AB95*2+AB94*4+AB93*8) &amp; ","</f>
        <v>0x0,</v>
      </c>
    </row>
    <row r="99" spans="1:28" x14ac:dyDescent="0.2">
      <c r="A99" s="1" t="str">
        <f>"{"&amp;A93&amp;","</f>
        <v>{1,</v>
      </c>
      <c r="B99" s="1" t="str">
        <f t="shared" ref="B99:D101" si="209">B93&amp;","</f>
        <v>1,</v>
      </c>
      <c r="C99" s="1" t="str">
        <f t="shared" si="209"/>
        <v>1,</v>
      </c>
      <c r="D99" s="1" t="str">
        <f t="shared" si="209"/>
        <v>0,</v>
      </c>
      <c r="E99" s="13"/>
      <c r="G99" s="1" t="str">
        <f>"{"&amp;G93&amp;","</f>
        <v>{0,</v>
      </c>
      <c r="H99" s="1" t="str">
        <f t="shared" ref="H99:J101" si="210">H93&amp;","</f>
        <v>0,</v>
      </c>
      <c r="I99" s="1" t="str">
        <f t="shared" si="210"/>
        <v>1,</v>
      </c>
      <c r="J99" s="1" t="str">
        <f t="shared" si="210"/>
        <v>0,</v>
      </c>
      <c r="K99" s="13"/>
      <c r="M99" s="1" t="str">
        <f>"{"&amp;M93&amp;","</f>
        <v>{0,</v>
      </c>
      <c r="N99" s="1" t="str">
        <f t="shared" ref="N99:P101" si="211">N93&amp;","</f>
        <v>1,</v>
      </c>
      <c r="O99" s="1" t="str">
        <f t="shared" si="211"/>
        <v>0,</v>
      </c>
      <c r="P99" s="1" t="str">
        <f t="shared" si="211"/>
        <v>0,</v>
      </c>
      <c r="Q99" s="13"/>
      <c r="S99" s="1" t="str">
        <f>"{"&amp;S93&amp;","</f>
        <v>{1,</v>
      </c>
      <c r="T99" s="1" t="str">
        <f t="shared" ref="T99:V101" si="212">T93&amp;","</f>
        <v>0,</v>
      </c>
      <c r="U99" s="1" t="str">
        <f t="shared" si="212"/>
        <v>0,</v>
      </c>
      <c r="V99" s="1" t="str">
        <f t="shared" si="212"/>
        <v>0,</v>
      </c>
      <c r="W99" s="13"/>
      <c r="Y99" s="1" t="str">
        <f>"{"&amp;Y93&amp;","</f>
        <v>{0,</v>
      </c>
      <c r="Z99" s="1" t="str">
        <f t="shared" ref="Z99:AB101" si="213">Z93&amp;","</f>
        <v>0,</v>
      </c>
      <c r="AA99" s="1" t="str">
        <f t="shared" si="213"/>
        <v>0,</v>
      </c>
      <c r="AB99" s="1" t="str">
        <f t="shared" si="213"/>
        <v>0,</v>
      </c>
    </row>
    <row r="100" spans="1:28" x14ac:dyDescent="0.2">
      <c r="A100" s="1" t="str">
        <f>A94&amp;","</f>
        <v>0,</v>
      </c>
      <c r="B100" s="1" t="str">
        <f t="shared" si="209"/>
        <v>1,</v>
      </c>
      <c r="C100" s="1" t="str">
        <f t="shared" si="209"/>
        <v>0,</v>
      </c>
      <c r="D100" s="1" t="str">
        <f t="shared" si="209"/>
        <v>0,</v>
      </c>
      <c r="E100" s="13"/>
      <c r="G100" s="1" t="str">
        <f>G94&amp;","</f>
        <v>1,</v>
      </c>
      <c r="H100" s="1" t="str">
        <f t="shared" si="210"/>
        <v>1,</v>
      </c>
      <c r="I100" s="1" t="str">
        <f t="shared" si="210"/>
        <v>1,</v>
      </c>
      <c r="J100" s="1" t="str">
        <f t="shared" si="210"/>
        <v>0,</v>
      </c>
      <c r="K100" s="13"/>
      <c r="M100" s="1" t="str">
        <f>M94&amp;","</f>
        <v>0,</v>
      </c>
      <c r="N100" s="1" t="str">
        <f t="shared" si="211"/>
        <v>1,</v>
      </c>
      <c r="O100" s="1" t="str">
        <f t="shared" si="211"/>
        <v>0,</v>
      </c>
      <c r="P100" s="1" t="str">
        <f t="shared" si="211"/>
        <v>0,</v>
      </c>
      <c r="Q100" s="13"/>
      <c r="S100" s="1" t="str">
        <f>S94&amp;","</f>
        <v>1,</v>
      </c>
      <c r="T100" s="1" t="str">
        <f t="shared" si="212"/>
        <v>1,</v>
      </c>
      <c r="U100" s="1" t="str">
        <f t="shared" si="212"/>
        <v>1,</v>
      </c>
      <c r="V100" s="1" t="str">
        <f t="shared" si="212"/>
        <v>0,</v>
      </c>
      <c r="W100" s="13"/>
      <c r="Y100" s="1" t="str">
        <f>Y94&amp;","</f>
        <v>0,</v>
      </c>
      <c r="Z100" s="1" t="str">
        <f t="shared" si="213"/>
        <v>0,</v>
      </c>
      <c r="AA100" s="1" t="str">
        <f t="shared" si="213"/>
        <v>0,</v>
      </c>
      <c r="AB100" s="1" t="str">
        <f t="shared" si="213"/>
        <v>0,</v>
      </c>
    </row>
    <row r="101" spans="1:28" x14ac:dyDescent="0.2">
      <c r="A101" s="1" t="str">
        <f>A95&amp;","</f>
        <v>0,</v>
      </c>
      <c r="B101" s="1" t="str">
        <f t="shared" si="209"/>
        <v>1,</v>
      </c>
      <c r="C101" s="1" t="str">
        <f t="shared" si="209"/>
        <v>0,</v>
      </c>
      <c r="D101" s="1" t="str">
        <f t="shared" si="209"/>
        <v>0,</v>
      </c>
      <c r="E101" s="13"/>
      <c r="G101" s="1" t="str">
        <f>G95&amp;","</f>
        <v>0,</v>
      </c>
      <c r="H101" s="1" t="str">
        <f t="shared" si="210"/>
        <v>0,</v>
      </c>
      <c r="I101" s="1" t="str">
        <f t="shared" si="210"/>
        <v>1,</v>
      </c>
      <c r="J101" s="1" t="str">
        <f t="shared" si="210"/>
        <v>0,</v>
      </c>
      <c r="K101" s="13"/>
      <c r="M101" s="1" t="str">
        <f>M95&amp;","</f>
        <v>1,</v>
      </c>
      <c r="N101" s="1" t="str">
        <f t="shared" si="211"/>
        <v>1,</v>
      </c>
      <c r="O101" s="1" t="str">
        <f t="shared" si="211"/>
        <v>1,</v>
      </c>
      <c r="P101" s="1" t="str">
        <f t="shared" si="211"/>
        <v>0,</v>
      </c>
      <c r="Q101" s="13"/>
      <c r="S101" s="1" t="str">
        <f>S95&amp;","</f>
        <v>1,</v>
      </c>
      <c r="T101" s="1" t="str">
        <f t="shared" si="212"/>
        <v>0,</v>
      </c>
      <c r="U101" s="1" t="str">
        <f t="shared" si="212"/>
        <v>0,</v>
      </c>
      <c r="V101" s="1" t="str">
        <f t="shared" si="212"/>
        <v>0,</v>
      </c>
      <c r="W101" s="13"/>
      <c r="Y101" s="1" t="str">
        <f>Y95&amp;","</f>
        <v>0,</v>
      </c>
      <c r="Z101" s="1" t="str">
        <f t="shared" si="213"/>
        <v>0,</v>
      </c>
      <c r="AA101" s="1" t="str">
        <f t="shared" si="213"/>
        <v>0,</v>
      </c>
      <c r="AB101" s="1" t="str">
        <f t="shared" si="213"/>
        <v>0,</v>
      </c>
    </row>
    <row r="102" spans="1:28" x14ac:dyDescent="0.2">
      <c r="A102" s="1" t="str">
        <f>A96&amp;","</f>
        <v>0,</v>
      </c>
      <c r="B102" s="1" t="str">
        <f>B96&amp;","</f>
        <v>0,</v>
      </c>
      <c r="C102" s="1" t="str">
        <f>C96&amp;","</f>
        <v>0,</v>
      </c>
      <c r="D102" s="1" t="str">
        <f>D96&amp;"},"</f>
        <v>0},</v>
      </c>
      <c r="E102" s="13"/>
      <c r="G102" s="1" t="str">
        <f>G96&amp;","</f>
        <v>0,</v>
      </c>
      <c r="H102" s="1" t="str">
        <f>H96&amp;","</f>
        <v>0,</v>
      </c>
      <c r="I102" s="1" t="str">
        <f>I96&amp;","</f>
        <v>0,</v>
      </c>
      <c r="J102" s="1" t="str">
        <f>J96&amp;"},"</f>
        <v>0},</v>
      </c>
      <c r="K102" s="13"/>
      <c r="M102" s="1" t="str">
        <f>M96&amp;","</f>
        <v>0,</v>
      </c>
      <c r="N102" s="1" t="str">
        <f>N96&amp;","</f>
        <v>0,</v>
      </c>
      <c r="O102" s="1" t="str">
        <f>O96&amp;","</f>
        <v>0,</v>
      </c>
      <c r="P102" s="1" t="str">
        <f>P96&amp;"},"</f>
        <v>0},</v>
      </c>
      <c r="Q102" s="13"/>
      <c r="S102" s="1" t="str">
        <f>S96&amp;","</f>
        <v>0,</v>
      </c>
      <c r="T102" s="1" t="str">
        <f>T96&amp;","</f>
        <v>0,</v>
      </c>
      <c r="U102" s="1" t="str">
        <f>U96&amp;","</f>
        <v>0,</v>
      </c>
      <c r="V102" s="1" t="str">
        <f>V96&amp;"},"</f>
        <v>0},</v>
      </c>
      <c r="W102" s="13"/>
      <c r="Y102" s="1" t="str">
        <f>Y96&amp;","</f>
        <v>0,</v>
      </c>
      <c r="Z102" s="1" t="str">
        <f>Z96&amp;","</f>
        <v>0,</v>
      </c>
      <c r="AA102" s="1" t="str">
        <f>AA96&amp;","</f>
        <v>0,</v>
      </c>
      <c r="AB102" s="1" t="str">
        <f>AB96&amp;"},"</f>
        <v>0},</v>
      </c>
    </row>
  </sheetData>
  <conditionalFormatting sqref="A1:E4">
    <cfRule type="cellIs" dxfId="284" priority="755" operator="equal">
      <formula>1</formula>
    </cfRule>
    <cfRule type="cellIs" dxfId="283" priority="756" operator="greaterThan">
      <formula>1</formula>
    </cfRule>
  </conditionalFormatting>
  <conditionalFormatting sqref="A1:E4">
    <cfRule type="cellIs" dxfId="282" priority="700" operator="equal">
      <formula>1</formula>
    </cfRule>
  </conditionalFormatting>
  <conditionalFormatting sqref="G1:J4">
    <cfRule type="cellIs" dxfId="281" priority="686" operator="equal">
      <formula>1</formula>
    </cfRule>
    <cfRule type="cellIs" dxfId="280" priority="687" operator="greaterThan">
      <formula>1</formula>
    </cfRule>
  </conditionalFormatting>
  <conditionalFormatting sqref="G1:J4">
    <cfRule type="cellIs" dxfId="279" priority="685" operator="equal">
      <formula>1</formula>
    </cfRule>
  </conditionalFormatting>
  <conditionalFormatting sqref="M1:P4">
    <cfRule type="cellIs" dxfId="278" priority="683" operator="equal">
      <formula>1</formula>
    </cfRule>
    <cfRule type="cellIs" dxfId="277" priority="684" operator="greaterThan">
      <formula>1</formula>
    </cfRule>
  </conditionalFormatting>
  <conditionalFormatting sqref="M1:P4">
    <cfRule type="cellIs" dxfId="276" priority="682" operator="equal">
      <formula>1</formula>
    </cfRule>
  </conditionalFormatting>
  <conditionalFormatting sqref="S1:V4">
    <cfRule type="cellIs" dxfId="275" priority="680" operator="equal">
      <formula>1</formula>
    </cfRule>
    <cfRule type="cellIs" dxfId="274" priority="681" operator="greaterThan">
      <formula>1</formula>
    </cfRule>
  </conditionalFormatting>
  <conditionalFormatting sqref="S1:V4">
    <cfRule type="cellIs" dxfId="273" priority="679" operator="equal">
      <formula>1</formula>
    </cfRule>
  </conditionalFormatting>
  <conditionalFormatting sqref="Y1:AB4">
    <cfRule type="cellIs" dxfId="272" priority="677" operator="equal">
      <formula>1</formula>
    </cfRule>
    <cfRule type="cellIs" dxfId="271" priority="678" operator="greaterThan">
      <formula>1</formula>
    </cfRule>
  </conditionalFormatting>
  <conditionalFormatting sqref="Y1:AB4">
    <cfRule type="cellIs" dxfId="270" priority="676" operator="equal">
      <formula>1</formula>
    </cfRule>
  </conditionalFormatting>
  <conditionalFormatting sqref="A12:D15">
    <cfRule type="cellIs" dxfId="269" priority="674" operator="equal">
      <formula>1</formula>
    </cfRule>
    <cfRule type="cellIs" dxfId="268" priority="675" operator="greaterThan">
      <formula>1</formula>
    </cfRule>
  </conditionalFormatting>
  <conditionalFormatting sqref="A12:D15">
    <cfRule type="cellIs" dxfId="267" priority="673" operator="equal">
      <formula>1</formula>
    </cfRule>
  </conditionalFormatting>
  <conditionalFormatting sqref="G12:J15">
    <cfRule type="cellIs" dxfId="266" priority="671" operator="equal">
      <formula>1</formula>
    </cfRule>
    <cfRule type="cellIs" dxfId="265" priority="672" operator="greaterThan">
      <formula>1</formula>
    </cfRule>
  </conditionalFormatting>
  <conditionalFormatting sqref="G12:J15">
    <cfRule type="cellIs" dxfId="264" priority="670" operator="equal">
      <formula>1</formula>
    </cfRule>
  </conditionalFormatting>
  <conditionalFormatting sqref="M12:P15">
    <cfRule type="cellIs" dxfId="263" priority="668" operator="equal">
      <formula>1</formula>
    </cfRule>
    <cfRule type="cellIs" dxfId="262" priority="669" operator="greaterThan">
      <formula>1</formula>
    </cfRule>
  </conditionalFormatting>
  <conditionalFormatting sqref="M12:P15">
    <cfRule type="cellIs" dxfId="261" priority="667" operator="equal">
      <formula>1</formula>
    </cfRule>
  </conditionalFormatting>
  <conditionalFormatting sqref="S12:V15">
    <cfRule type="cellIs" dxfId="260" priority="665" operator="equal">
      <formula>1</formula>
    </cfRule>
    <cfRule type="cellIs" dxfId="259" priority="666" operator="greaterThan">
      <formula>1</formula>
    </cfRule>
  </conditionalFormatting>
  <conditionalFormatting sqref="S12:V15">
    <cfRule type="cellIs" dxfId="258" priority="664" operator="equal">
      <formula>1</formula>
    </cfRule>
  </conditionalFormatting>
  <conditionalFormatting sqref="Y12:AB15">
    <cfRule type="cellIs" dxfId="257" priority="662" operator="equal">
      <formula>1</formula>
    </cfRule>
    <cfRule type="cellIs" dxfId="256" priority="663" operator="greaterThan">
      <formula>1</formula>
    </cfRule>
  </conditionalFormatting>
  <conditionalFormatting sqref="Y12:AB15">
    <cfRule type="cellIs" dxfId="255" priority="661" operator="equal">
      <formula>1</formula>
    </cfRule>
  </conditionalFormatting>
  <conditionalFormatting sqref="A23:D26">
    <cfRule type="cellIs" dxfId="254" priority="659" operator="equal">
      <formula>1</formula>
    </cfRule>
    <cfRule type="cellIs" dxfId="253" priority="660" operator="greaterThan">
      <formula>1</formula>
    </cfRule>
  </conditionalFormatting>
  <conditionalFormatting sqref="A23:D26">
    <cfRule type="cellIs" dxfId="252" priority="658" operator="equal">
      <formula>1</formula>
    </cfRule>
  </conditionalFormatting>
  <conditionalFormatting sqref="G23:J26">
    <cfRule type="cellIs" dxfId="251" priority="656" operator="equal">
      <formula>1</formula>
    </cfRule>
    <cfRule type="cellIs" dxfId="250" priority="657" operator="greaterThan">
      <formula>1</formula>
    </cfRule>
  </conditionalFormatting>
  <conditionalFormatting sqref="G23:J26">
    <cfRule type="cellIs" dxfId="249" priority="655" operator="equal">
      <formula>1</formula>
    </cfRule>
  </conditionalFormatting>
  <conditionalFormatting sqref="M23:P26">
    <cfRule type="cellIs" dxfId="248" priority="653" operator="equal">
      <formula>1</formula>
    </cfRule>
    <cfRule type="cellIs" dxfId="247" priority="654" operator="greaterThan">
      <formula>1</formula>
    </cfRule>
  </conditionalFormatting>
  <conditionalFormatting sqref="M23:P26">
    <cfRule type="cellIs" dxfId="246" priority="652" operator="equal">
      <formula>1</formula>
    </cfRule>
  </conditionalFormatting>
  <conditionalFormatting sqref="S23:V26">
    <cfRule type="cellIs" dxfId="245" priority="650" operator="equal">
      <formula>1</formula>
    </cfRule>
    <cfRule type="cellIs" dxfId="244" priority="651" operator="greaterThan">
      <formula>1</formula>
    </cfRule>
  </conditionalFormatting>
  <conditionalFormatting sqref="S23:V26">
    <cfRule type="cellIs" dxfId="243" priority="649" operator="equal">
      <formula>1</formula>
    </cfRule>
  </conditionalFormatting>
  <conditionalFormatting sqref="Y23:AB26">
    <cfRule type="cellIs" dxfId="242" priority="647" operator="equal">
      <formula>1</formula>
    </cfRule>
    <cfRule type="cellIs" dxfId="241" priority="648" operator="greaterThan">
      <formula>1</formula>
    </cfRule>
  </conditionalFormatting>
  <conditionalFormatting sqref="Y23:AB26">
    <cfRule type="cellIs" dxfId="240" priority="646" operator="equal">
      <formula>1</formula>
    </cfRule>
  </conditionalFormatting>
  <conditionalFormatting sqref="A34:D37">
    <cfRule type="cellIs" dxfId="239" priority="614" operator="equal">
      <formula>1</formula>
    </cfRule>
    <cfRule type="cellIs" dxfId="238" priority="615" operator="greaterThan">
      <formula>1</formula>
    </cfRule>
  </conditionalFormatting>
  <conditionalFormatting sqref="A34:D37">
    <cfRule type="cellIs" dxfId="237" priority="613" operator="equal">
      <formula>1</formula>
    </cfRule>
  </conditionalFormatting>
  <conditionalFormatting sqref="G34:J37">
    <cfRule type="cellIs" dxfId="236" priority="611" operator="equal">
      <formula>1</formula>
    </cfRule>
    <cfRule type="cellIs" dxfId="235" priority="612" operator="greaterThan">
      <formula>1</formula>
    </cfRule>
  </conditionalFormatting>
  <conditionalFormatting sqref="G34:J37">
    <cfRule type="cellIs" dxfId="234" priority="610" operator="equal">
      <formula>1</formula>
    </cfRule>
  </conditionalFormatting>
  <conditionalFormatting sqref="M34:P37">
    <cfRule type="cellIs" dxfId="233" priority="608" operator="equal">
      <formula>1</formula>
    </cfRule>
    <cfRule type="cellIs" dxfId="232" priority="609" operator="greaterThan">
      <formula>1</formula>
    </cfRule>
  </conditionalFormatting>
  <conditionalFormatting sqref="M34:P37">
    <cfRule type="cellIs" dxfId="231" priority="607" operator="equal">
      <formula>1</formula>
    </cfRule>
  </conditionalFormatting>
  <conditionalFormatting sqref="S34:V37">
    <cfRule type="cellIs" dxfId="230" priority="605" operator="equal">
      <formula>1</formula>
    </cfRule>
    <cfRule type="cellIs" dxfId="229" priority="606" operator="greaterThan">
      <formula>1</formula>
    </cfRule>
  </conditionalFormatting>
  <conditionalFormatting sqref="S34:V37">
    <cfRule type="cellIs" dxfId="228" priority="604" operator="equal">
      <formula>1</formula>
    </cfRule>
  </conditionalFormatting>
  <conditionalFormatting sqref="Y34:AB37">
    <cfRule type="cellIs" dxfId="227" priority="602" operator="equal">
      <formula>1</formula>
    </cfRule>
    <cfRule type="cellIs" dxfId="226" priority="603" operator="greaterThan">
      <formula>1</formula>
    </cfRule>
  </conditionalFormatting>
  <conditionalFormatting sqref="Y34:AB37">
    <cfRule type="cellIs" dxfId="225" priority="601" operator="equal">
      <formula>1</formula>
    </cfRule>
  </conditionalFormatting>
  <conditionalFormatting sqref="A46:D49">
    <cfRule type="cellIs" dxfId="224" priority="599" operator="equal">
      <formula>1</formula>
    </cfRule>
    <cfRule type="cellIs" dxfId="223" priority="600" operator="greaterThan">
      <formula>1</formula>
    </cfRule>
  </conditionalFormatting>
  <conditionalFormatting sqref="A46:D49">
    <cfRule type="cellIs" dxfId="222" priority="598" operator="equal">
      <formula>1</formula>
    </cfRule>
  </conditionalFormatting>
  <conditionalFormatting sqref="G46:J49">
    <cfRule type="cellIs" dxfId="221" priority="596" operator="equal">
      <formula>1</formula>
    </cfRule>
    <cfRule type="cellIs" dxfId="220" priority="597" operator="greaterThan">
      <formula>1</formula>
    </cfRule>
  </conditionalFormatting>
  <conditionalFormatting sqref="G46:J49">
    <cfRule type="cellIs" dxfId="219" priority="595" operator="equal">
      <formula>1</formula>
    </cfRule>
  </conditionalFormatting>
  <conditionalFormatting sqref="M46:P49">
    <cfRule type="cellIs" dxfId="218" priority="593" operator="equal">
      <formula>1</formula>
    </cfRule>
    <cfRule type="cellIs" dxfId="217" priority="594" operator="greaterThan">
      <formula>1</formula>
    </cfRule>
  </conditionalFormatting>
  <conditionalFormatting sqref="M46:P49">
    <cfRule type="cellIs" dxfId="216" priority="592" operator="equal">
      <formula>1</formula>
    </cfRule>
  </conditionalFormatting>
  <conditionalFormatting sqref="S46:V49">
    <cfRule type="cellIs" dxfId="215" priority="590" operator="equal">
      <formula>1</formula>
    </cfRule>
    <cfRule type="cellIs" dxfId="214" priority="591" operator="greaterThan">
      <formula>1</formula>
    </cfRule>
  </conditionalFormatting>
  <conditionalFormatting sqref="S46:V49">
    <cfRule type="cellIs" dxfId="213" priority="589" operator="equal">
      <formula>1</formula>
    </cfRule>
  </conditionalFormatting>
  <conditionalFormatting sqref="Y46:AB49">
    <cfRule type="cellIs" dxfId="212" priority="587" operator="equal">
      <formula>1</formula>
    </cfRule>
    <cfRule type="cellIs" dxfId="211" priority="588" operator="greaterThan">
      <formula>1</formula>
    </cfRule>
  </conditionalFormatting>
  <conditionalFormatting sqref="Y46:AB49">
    <cfRule type="cellIs" dxfId="210" priority="586" operator="equal">
      <formula>1</formula>
    </cfRule>
  </conditionalFormatting>
  <conditionalFormatting sqref="A57:D60">
    <cfRule type="cellIs" dxfId="209" priority="584" operator="equal">
      <formula>1</formula>
    </cfRule>
    <cfRule type="cellIs" dxfId="208" priority="585" operator="greaterThan">
      <formula>1</formula>
    </cfRule>
  </conditionalFormatting>
  <conditionalFormatting sqref="A57:D60">
    <cfRule type="cellIs" dxfId="207" priority="583" operator="equal">
      <formula>1</formula>
    </cfRule>
  </conditionalFormatting>
  <conditionalFormatting sqref="G57:J60">
    <cfRule type="cellIs" dxfId="206" priority="581" operator="equal">
      <formula>1</formula>
    </cfRule>
    <cfRule type="cellIs" dxfId="205" priority="582" operator="greaterThan">
      <formula>1</formula>
    </cfRule>
  </conditionalFormatting>
  <conditionalFormatting sqref="G57:J60">
    <cfRule type="cellIs" dxfId="204" priority="580" operator="equal">
      <formula>1</formula>
    </cfRule>
  </conditionalFormatting>
  <conditionalFormatting sqref="M57:P60">
    <cfRule type="cellIs" dxfId="203" priority="578" operator="equal">
      <formula>1</formula>
    </cfRule>
    <cfRule type="cellIs" dxfId="202" priority="579" operator="greaterThan">
      <formula>1</formula>
    </cfRule>
  </conditionalFormatting>
  <conditionalFormatting sqref="M57:P60">
    <cfRule type="cellIs" dxfId="201" priority="577" operator="equal">
      <formula>1</formula>
    </cfRule>
  </conditionalFormatting>
  <conditionalFormatting sqref="S57:V60">
    <cfRule type="cellIs" dxfId="200" priority="575" operator="equal">
      <formula>1</formula>
    </cfRule>
    <cfRule type="cellIs" dxfId="199" priority="576" operator="greaterThan">
      <formula>1</formula>
    </cfRule>
  </conditionalFormatting>
  <conditionalFormatting sqref="S57:V60">
    <cfRule type="cellIs" dxfId="198" priority="574" operator="equal">
      <formula>1</formula>
    </cfRule>
  </conditionalFormatting>
  <conditionalFormatting sqref="Y57:AB60">
    <cfRule type="cellIs" dxfId="197" priority="572" operator="equal">
      <formula>1</formula>
    </cfRule>
    <cfRule type="cellIs" dxfId="196" priority="573" operator="greaterThan">
      <formula>1</formula>
    </cfRule>
  </conditionalFormatting>
  <conditionalFormatting sqref="Y57:AB60">
    <cfRule type="cellIs" dxfId="195" priority="571" operator="equal">
      <formula>1</formula>
    </cfRule>
  </conditionalFormatting>
  <conditionalFormatting sqref="A69:D72">
    <cfRule type="cellIs" dxfId="194" priority="569" operator="equal">
      <formula>1</formula>
    </cfRule>
    <cfRule type="cellIs" dxfId="193" priority="570" operator="greaterThan">
      <formula>1</formula>
    </cfRule>
  </conditionalFormatting>
  <conditionalFormatting sqref="A69:D72">
    <cfRule type="cellIs" dxfId="192" priority="568" operator="equal">
      <formula>1</formula>
    </cfRule>
  </conditionalFormatting>
  <conditionalFormatting sqref="G69:J72">
    <cfRule type="cellIs" dxfId="191" priority="566" operator="equal">
      <formula>1</formula>
    </cfRule>
    <cfRule type="cellIs" dxfId="190" priority="567" operator="greaterThan">
      <formula>1</formula>
    </cfRule>
  </conditionalFormatting>
  <conditionalFormatting sqref="G69:J72">
    <cfRule type="cellIs" dxfId="189" priority="565" operator="equal">
      <formula>1</formula>
    </cfRule>
  </conditionalFormatting>
  <conditionalFormatting sqref="M69:P72">
    <cfRule type="cellIs" dxfId="188" priority="563" operator="equal">
      <formula>1</formula>
    </cfRule>
    <cfRule type="cellIs" dxfId="187" priority="564" operator="greaterThan">
      <formula>1</formula>
    </cfRule>
  </conditionalFormatting>
  <conditionalFormatting sqref="M69:P72">
    <cfRule type="cellIs" dxfId="186" priority="562" operator="equal">
      <formula>1</formula>
    </cfRule>
  </conditionalFormatting>
  <conditionalFormatting sqref="S69:V72">
    <cfRule type="cellIs" dxfId="185" priority="560" operator="equal">
      <formula>1</formula>
    </cfRule>
    <cfRule type="cellIs" dxfId="184" priority="561" operator="greaterThan">
      <formula>1</formula>
    </cfRule>
  </conditionalFormatting>
  <conditionalFormatting sqref="S69:V72">
    <cfRule type="cellIs" dxfId="183" priority="559" operator="equal">
      <formula>1</formula>
    </cfRule>
  </conditionalFormatting>
  <conditionalFormatting sqref="Y69:AB72">
    <cfRule type="cellIs" dxfId="182" priority="557" operator="equal">
      <formula>1</formula>
    </cfRule>
    <cfRule type="cellIs" dxfId="181" priority="558" operator="greaterThan">
      <formula>1</formula>
    </cfRule>
  </conditionalFormatting>
  <conditionalFormatting sqref="Y69:AB72">
    <cfRule type="cellIs" dxfId="180" priority="556" operator="equal">
      <formula>1</formula>
    </cfRule>
  </conditionalFormatting>
  <conditionalFormatting sqref="A81:D84">
    <cfRule type="cellIs" dxfId="179" priority="554" operator="equal">
      <formula>1</formula>
    </cfRule>
    <cfRule type="cellIs" dxfId="178" priority="555" operator="greaterThan">
      <formula>1</formula>
    </cfRule>
  </conditionalFormatting>
  <conditionalFormatting sqref="A81:D84">
    <cfRule type="cellIs" dxfId="177" priority="553" operator="equal">
      <formula>1</formula>
    </cfRule>
  </conditionalFormatting>
  <conditionalFormatting sqref="G81:J84">
    <cfRule type="cellIs" dxfId="176" priority="551" operator="equal">
      <formula>1</formula>
    </cfRule>
    <cfRule type="cellIs" dxfId="175" priority="552" operator="greaterThan">
      <formula>1</formula>
    </cfRule>
  </conditionalFormatting>
  <conditionalFormatting sqref="G81:J84">
    <cfRule type="cellIs" dxfId="174" priority="550" operator="equal">
      <formula>1</formula>
    </cfRule>
  </conditionalFormatting>
  <conditionalFormatting sqref="M81:P84">
    <cfRule type="cellIs" dxfId="173" priority="548" operator="equal">
      <formula>1</formula>
    </cfRule>
    <cfRule type="cellIs" dxfId="172" priority="549" operator="greaterThan">
      <formula>1</formula>
    </cfRule>
  </conditionalFormatting>
  <conditionalFormatting sqref="M81:P84">
    <cfRule type="cellIs" dxfId="171" priority="547" operator="equal">
      <formula>1</formula>
    </cfRule>
  </conditionalFormatting>
  <conditionalFormatting sqref="S81:V84">
    <cfRule type="cellIs" dxfId="170" priority="545" operator="equal">
      <formula>1</formula>
    </cfRule>
    <cfRule type="cellIs" dxfId="169" priority="546" operator="greaterThan">
      <formula>1</formula>
    </cfRule>
  </conditionalFormatting>
  <conditionalFormatting sqref="S81:V84">
    <cfRule type="cellIs" dxfId="168" priority="544" operator="equal">
      <formula>1</formula>
    </cfRule>
  </conditionalFormatting>
  <conditionalFormatting sqref="Y81:AB84">
    <cfRule type="cellIs" dxfId="167" priority="542" operator="equal">
      <formula>1</formula>
    </cfRule>
    <cfRule type="cellIs" dxfId="166" priority="543" operator="greaterThan">
      <formula>1</formula>
    </cfRule>
  </conditionalFormatting>
  <conditionalFormatting sqref="Y81:AB84">
    <cfRule type="cellIs" dxfId="165" priority="541" operator="equal">
      <formula>1</formula>
    </cfRule>
  </conditionalFormatting>
  <conditionalFormatting sqref="A93:D96">
    <cfRule type="cellIs" dxfId="164" priority="539" operator="equal">
      <formula>1</formula>
    </cfRule>
    <cfRule type="cellIs" dxfId="163" priority="540" operator="greaterThan">
      <formula>1</formula>
    </cfRule>
  </conditionalFormatting>
  <conditionalFormatting sqref="A93:D96">
    <cfRule type="cellIs" dxfId="162" priority="538" operator="equal">
      <formula>1</formula>
    </cfRule>
  </conditionalFormatting>
  <conditionalFormatting sqref="G93:J96">
    <cfRule type="cellIs" dxfId="161" priority="536" operator="equal">
      <formula>1</formula>
    </cfRule>
    <cfRule type="cellIs" dxfId="160" priority="537" operator="greaterThan">
      <formula>1</formula>
    </cfRule>
  </conditionalFormatting>
  <conditionalFormatting sqref="G93:J96">
    <cfRule type="cellIs" dxfId="159" priority="535" operator="equal">
      <formula>1</formula>
    </cfRule>
  </conditionalFormatting>
  <conditionalFormatting sqref="M93:P96">
    <cfRule type="cellIs" dxfId="158" priority="533" operator="equal">
      <formula>1</formula>
    </cfRule>
    <cfRule type="cellIs" dxfId="157" priority="534" operator="greaterThan">
      <formula>1</formula>
    </cfRule>
  </conditionalFormatting>
  <conditionalFormatting sqref="M93:P96">
    <cfRule type="cellIs" dxfId="156" priority="532" operator="equal">
      <formula>1</formula>
    </cfRule>
  </conditionalFormatting>
  <conditionalFormatting sqref="S93:V96">
    <cfRule type="cellIs" dxfId="155" priority="530" operator="equal">
      <formula>1</formula>
    </cfRule>
    <cfRule type="cellIs" dxfId="154" priority="531" operator="greaterThan">
      <formula>1</formula>
    </cfRule>
  </conditionalFormatting>
  <conditionalFormatting sqref="S93:V96">
    <cfRule type="cellIs" dxfId="153" priority="529" operator="equal">
      <formula>1</formula>
    </cfRule>
  </conditionalFormatting>
  <conditionalFormatting sqref="Y93:AB96">
    <cfRule type="cellIs" dxfId="152" priority="527" operator="equal">
      <formula>1</formula>
    </cfRule>
    <cfRule type="cellIs" dxfId="151" priority="528" operator="greaterThan">
      <formula>1</formula>
    </cfRule>
  </conditionalFormatting>
  <conditionalFormatting sqref="Y93:AB96">
    <cfRule type="cellIs" dxfId="150" priority="526" operator="equal">
      <formula>1</formula>
    </cfRule>
  </conditionalFormatting>
  <conditionalFormatting sqref="E12:E15">
    <cfRule type="cellIs" dxfId="149" priority="104" operator="equal">
      <formula>1</formula>
    </cfRule>
    <cfRule type="cellIs" dxfId="148" priority="105" operator="greaterThan">
      <formula>1</formula>
    </cfRule>
  </conditionalFormatting>
  <conditionalFormatting sqref="E12:E15">
    <cfRule type="cellIs" dxfId="147" priority="103" operator="equal">
      <formula>1</formula>
    </cfRule>
  </conditionalFormatting>
  <conditionalFormatting sqref="E23:E26">
    <cfRule type="cellIs" dxfId="146" priority="101" operator="equal">
      <formula>1</formula>
    </cfRule>
    <cfRule type="cellIs" dxfId="145" priority="102" operator="greaterThan">
      <formula>1</formula>
    </cfRule>
  </conditionalFormatting>
  <conditionalFormatting sqref="E23:E26">
    <cfRule type="cellIs" dxfId="144" priority="100" operator="equal">
      <formula>1</formula>
    </cfRule>
  </conditionalFormatting>
  <conditionalFormatting sqref="E34:E37">
    <cfRule type="cellIs" dxfId="143" priority="98" operator="equal">
      <formula>1</formula>
    </cfRule>
    <cfRule type="cellIs" dxfId="142" priority="99" operator="greaterThan">
      <formula>1</formula>
    </cfRule>
  </conditionalFormatting>
  <conditionalFormatting sqref="E34:E37">
    <cfRule type="cellIs" dxfId="141" priority="97" operator="equal">
      <formula>1</formula>
    </cfRule>
  </conditionalFormatting>
  <conditionalFormatting sqref="E46:E49">
    <cfRule type="cellIs" dxfId="140" priority="95" operator="equal">
      <formula>1</formula>
    </cfRule>
    <cfRule type="cellIs" dxfId="139" priority="96" operator="greaterThan">
      <formula>1</formula>
    </cfRule>
  </conditionalFormatting>
  <conditionalFormatting sqref="E46:E49">
    <cfRule type="cellIs" dxfId="138" priority="94" operator="equal">
      <formula>1</formula>
    </cfRule>
  </conditionalFormatting>
  <conditionalFormatting sqref="E57:E60">
    <cfRule type="cellIs" dxfId="137" priority="92" operator="equal">
      <formula>1</formula>
    </cfRule>
    <cfRule type="cellIs" dxfId="136" priority="93" operator="greaterThan">
      <formula>1</formula>
    </cfRule>
  </conditionalFormatting>
  <conditionalFormatting sqref="E57:E60">
    <cfRule type="cellIs" dxfId="135" priority="91" operator="equal">
      <formula>1</formula>
    </cfRule>
  </conditionalFormatting>
  <conditionalFormatting sqref="E69:E72">
    <cfRule type="cellIs" dxfId="134" priority="89" operator="equal">
      <formula>1</formula>
    </cfRule>
    <cfRule type="cellIs" dxfId="133" priority="90" operator="greaterThan">
      <formula>1</formula>
    </cfRule>
  </conditionalFormatting>
  <conditionalFormatting sqref="E69:E72">
    <cfRule type="cellIs" dxfId="132" priority="88" operator="equal">
      <formula>1</formula>
    </cfRule>
  </conditionalFormatting>
  <conditionalFormatting sqref="E81:E84">
    <cfRule type="cellIs" dxfId="131" priority="86" operator="equal">
      <formula>1</formula>
    </cfRule>
    <cfRule type="cellIs" dxfId="130" priority="87" operator="greaterThan">
      <formula>1</formula>
    </cfRule>
  </conditionalFormatting>
  <conditionalFormatting sqref="E81:E84">
    <cfRule type="cellIs" dxfId="129" priority="85" operator="equal">
      <formula>1</formula>
    </cfRule>
  </conditionalFormatting>
  <conditionalFormatting sqref="E93:E96">
    <cfRule type="cellIs" dxfId="128" priority="83" operator="equal">
      <formula>1</formula>
    </cfRule>
    <cfRule type="cellIs" dxfId="127" priority="84" operator="greaterThan">
      <formula>1</formula>
    </cfRule>
  </conditionalFormatting>
  <conditionalFormatting sqref="E93:E96">
    <cfRule type="cellIs" dxfId="126" priority="82" operator="equal">
      <formula>1</formula>
    </cfRule>
  </conditionalFormatting>
  <conditionalFormatting sqref="K1:K4">
    <cfRule type="cellIs" dxfId="125" priority="80" operator="equal">
      <formula>1</formula>
    </cfRule>
    <cfRule type="cellIs" dxfId="124" priority="81" operator="greaterThan">
      <formula>1</formula>
    </cfRule>
  </conditionalFormatting>
  <conditionalFormatting sqref="K1:K4">
    <cfRule type="cellIs" dxfId="123" priority="79" operator="equal">
      <formula>1</formula>
    </cfRule>
  </conditionalFormatting>
  <conditionalFormatting sqref="K12:K15">
    <cfRule type="cellIs" dxfId="122" priority="77" operator="equal">
      <formula>1</formula>
    </cfRule>
    <cfRule type="cellIs" dxfId="121" priority="78" operator="greaterThan">
      <formula>1</formula>
    </cfRule>
  </conditionalFormatting>
  <conditionalFormatting sqref="K12:K15">
    <cfRule type="cellIs" dxfId="120" priority="76" operator="equal">
      <formula>1</formula>
    </cfRule>
  </conditionalFormatting>
  <conditionalFormatting sqref="K23:K26">
    <cfRule type="cellIs" dxfId="119" priority="74" operator="equal">
      <formula>1</formula>
    </cfRule>
    <cfRule type="cellIs" dxfId="118" priority="75" operator="greaterThan">
      <formula>1</formula>
    </cfRule>
  </conditionalFormatting>
  <conditionalFormatting sqref="K23:K26">
    <cfRule type="cellIs" dxfId="117" priority="73" operator="equal">
      <formula>1</formula>
    </cfRule>
  </conditionalFormatting>
  <conditionalFormatting sqref="K34:K37">
    <cfRule type="cellIs" dxfId="116" priority="71" operator="equal">
      <formula>1</formula>
    </cfRule>
    <cfRule type="cellIs" dxfId="115" priority="72" operator="greaterThan">
      <formula>1</formula>
    </cfRule>
  </conditionalFormatting>
  <conditionalFormatting sqref="K34:K37">
    <cfRule type="cellIs" dxfId="114" priority="70" operator="equal">
      <formula>1</formula>
    </cfRule>
  </conditionalFormatting>
  <conditionalFormatting sqref="K46:K49">
    <cfRule type="cellIs" dxfId="113" priority="68" operator="equal">
      <formula>1</formula>
    </cfRule>
    <cfRule type="cellIs" dxfId="112" priority="69" operator="greaterThan">
      <formula>1</formula>
    </cfRule>
  </conditionalFormatting>
  <conditionalFormatting sqref="K46:K49">
    <cfRule type="cellIs" dxfId="111" priority="67" operator="equal">
      <formula>1</formula>
    </cfRule>
  </conditionalFormatting>
  <conditionalFormatting sqref="K57:K60">
    <cfRule type="cellIs" dxfId="110" priority="65" operator="equal">
      <formula>1</formula>
    </cfRule>
    <cfRule type="cellIs" dxfId="109" priority="66" operator="greaterThan">
      <formula>1</formula>
    </cfRule>
  </conditionalFormatting>
  <conditionalFormatting sqref="K57:K60">
    <cfRule type="cellIs" dxfId="108" priority="64" operator="equal">
      <formula>1</formula>
    </cfRule>
  </conditionalFormatting>
  <conditionalFormatting sqref="K69:K72">
    <cfRule type="cellIs" dxfId="107" priority="62" operator="equal">
      <formula>1</formula>
    </cfRule>
    <cfRule type="cellIs" dxfId="106" priority="63" operator="greaterThan">
      <formula>1</formula>
    </cfRule>
  </conditionalFormatting>
  <conditionalFormatting sqref="K69:K72">
    <cfRule type="cellIs" dxfId="105" priority="61" operator="equal">
      <formula>1</formula>
    </cfRule>
  </conditionalFormatting>
  <conditionalFormatting sqref="K81:K84">
    <cfRule type="cellIs" dxfId="104" priority="59" operator="equal">
      <formula>1</formula>
    </cfRule>
    <cfRule type="cellIs" dxfId="103" priority="60" operator="greaterThan">
      <formula>1</formula>
    </cfRule>
  </conditionalFormatting>
  <conditionalFormatting sqref="K81:K84">
    <cfRule type="cellIs" dxfId="102" priority="58" operator="equal">
      <formula>1</formula>
    </cfRule>
  </conditionalFormatting>
  <conditionalFormatting sqref="K93:K96">
    <cfRule type="cellIs" dxfId="101" priority="56" operator="equal">
      <formula>1</formula>
    </cfRule>
    <cfRule type="cellIs" dxfId="100" priority="57" operator="greaterThan">
      <formula>1</formula>
    </cfRule>
  </conditionalFormatting>
  <conditionalFormatting sqref="K93:K96">
    <cfRule type="cellIs" dxfId="99" priority="55" operator="equal">
      <formula>1</formula>
    </cfRule>
  </conditionalFormatting>
  <conditionalFormatting sqref="Q1:Q4">
    <cfRule type="cellIs" dxfId="98" priority="53" operator="equal">
      <formula>1</formula>
    </cfRule>
    <cfRule type="cellIs" dxfId="97" priority="54" operator="greaterThan">
      <formula>1</formula>
    </cfRule>
  </conditionalFormatting>
  <conditionalFormatting sqref="Q1:Q4">
    <cfRule type="cellIs" dxfId="96" priority="52" operator="equal">
      <formula>1</formula>
    </cfRule>
  </conditionalFormatting>
  <conditionalFormatting sqref="Q12:Q15">
    <cfRule type="cellIs" dxfId="95" priority="50" operator="equal">
      <formula>1</formula>
    </cfRule>
    <cfRule type="cellIs" dxfId="94" priority="51" operator="greaterThan">
      <formula>1</formula>
    </cfRule>
  </conditionalFormatting>
  <conditionalFormatting sqref="Q12:Q15">
    <cfRule type="cellIs" dxfId="93" priority="49" operator="equal">
      <formula>1</formula>
    </cfRule>
  </conditionalFormatting>
  <conditionalFormatting sqref="Q23:Q26">
    <cfRule type="cellIs" dxfId="92" priority="47" operator="equal">
      <formula>1</formula>
    </cfRule>
    <cfRule type="cellIs" dxfId="91" priority="48" operator="greaterThan">
      <formula>1</formula>
    </cfRule>
  </conditionalFormatting>
  <conditionalFormatting sqref="Q23:Q26">
    <cfRule type="cellIs" dxfId="90" priority="46" operator="equal">
      <formula>1</formula>
    </cfRule>
  </conditionalFormatting>
  <conditionalFormatting sqref="Q34:Q37">
    <cfRule type="cellIs" dxfId="89" priority="44" operator="equal">
      <formula>1</formula>
    </cfRule>
    <cfRule type="cellIs" dxfId="88" priority="45" operator="greaterThan">
      <formula>1</formula>
    </cfRule>
  </conditionalFormatting>
  <conditionalFormatting sqref="Q34:Q37">
    <cfRule type="cellIs" dxfId="87" priority="43" operator="equal">
      <formula>1</formula>
    </cfRule>
  </conditionalFormatting>
  <conditionalFormatting sqref="Q46:Q49">
    <cfRule type="cellIs" dxfId="86" priority="41" operator="equal">
      <formula>1</formula>
    </cfRule>
    <cfRule type="cellIs" dxfId="85" priority="42" operator="greaterThan">
      <formula>1</formula>
    </cfRule>
  </conditionalFormatting>
  <conditionalFormatting sqref="Q46:Q49">
    <cfRule type="cellIs" dxfId="84" priority="40" operator="equal">
      <formula>1</formula>
    </cfRule>
  </conditionalFormatting>
  <conditionalFormatting sqref="Q57:Q60">
    <cfRule type="cellIs" dxfId="83" priority="38" operator="equal">
      <formula>1</formula>
    </cfRule>
    <cfRule type="cellIs" dxfId="82" priority="39" operator="greaterThan">
      <formula>1</formula>
    </cfRule>
  </conditionalFormatting>
  <conditionalFormatting sqref="Q57:Q60">
    <cfRule type="cellIs" dxfId="81" priority="37" operator="equal">
      <formula>1</formula>
    </cfRule>
  </conditionalFormatting>
  <conditionalFormatting sqref="Q69:Q72">
    <cfRule type="cellIs" dxfId="80" priority="35" operator="equal">
      <formula>1</formula>
    </cfRule>
    <cfRule type="cellIs" dxfId="79" priority="36" operator="greaterThan">
      <formula>1</formula>
    </cfRule>
  </conditionalFormatting>
  <conditionalFormatting sqref="Q69:Q72">
    <cfRule type="cellIs" dxfId="78" priority="34" operator="equal">
      <formula>1</formula>
    </cfRule>
  </conditionalFormatting>
  <conditionalFormatting sqref="Q81:Q84">
    <cfRule type="cellIs" dxfId="77" priority="32" operator="equal">
      <formula>1</formula>
    </cfRule>
    <cfRule type="cellIs" dxfId="76" priority="33" operator="greaterThan">
      <formula>1</formula>
    </cfRule>
  </conditionalFormatting>
  <conditionalFormatting sqref="Q81:Q84">
    <cfRule type="cellIs" dxfId="75" priority="31" operator="equal">
      <formula>1</formula>
    </cfRule>
  </conditionalFormatting>
  <conditionalFormatting sqref="Q93:Q96">
    <cfRule type="cellIs" dxfId="74" priority="29" operator="equal">
      <formula>1</formula>
    </cfRule>
    <cfRule type="cellIs" dxfId="73" priority="30" operator="greaterThan">
      <formula>1</formula>
    </cfRule>
  </conditionalFormatting>
  <conditionalFormatting sqref="Q93:Q96">
    <cfRule type="cellIs" dxfId="72" priority="28" operator="equal">
      <formula>1</formula>
    </cfRule>
  </conditionalFormatting>
  <conditionalFormatting sqref="W1:W4">
    <cfRule type="cellIs" dxfId="71" priority="26" operator="equal">
      <formula>1</formula>
    </cfRule>
    <cfRule type="cellIs" dxfId="70" priority="27" operator="greaterThan">
      <formula>1</formula>
    </cfRule>
  </conditionalFormatting>
  <conditionalFormatting sqref="W1:W4">
    <cfRule type="cellIs" dxfId="69" priority="25" operator="equal">
      <formula>1</formula>
    </cfRule>
  </conditionalFormatting>
  <conditionalFormatting sqref="W12:W15">
    <cfRule type="cellIs" dxfId="68" priority="23" operator="equal">
      <formula>1</formula>
    </cfRule>
    <cfRule type="cellIs" dxfId="67" priority="24" operator="greaterThan">
      <formula>1</formula>
    </cfRule>
  </conditionalFormatting>
  <conditionalFormatting sqref="W12:W15">
    <cfRule type="cellIs" dxfId="66" priority="22" operator="equal">
      <formula>1</formula>
    </cfRule>
  </conditionalFormatting>
  <conditionalFormatting sqref="W23:W26">
    <cfRule type="cellIs" dxfId="65" priority="20" operator="equal">
      <formula>1</formula>
    </cfRule>
    <cfRule type="cellIs" dxfId="64" priority="21" operator="greaterThan">
      <formula>1</formula>
    </cfRule>
  </conditionalFormatting>
  <conditionalFormatting sqref="W23:W26">
    <cfRule type="cellIs" dxfId="63" priority="19" operator="equal">
      <formula>1</formula>
    </cfRule>
  </conditionalFormatting>
  <conditionalFormatting sqref="W34:W37">
    <cfRule type="cellIs" dxfId="62" priority="17" operator="equal">
      <formula>1</formula>
    </cfRule>
    <cfRule type="cellIs" dxfId="61" priority="18" operator="greaterThan">
      <formula>1</formula>
    </cfRule>
  </conditionalFormatting>
  <conditionalFormatting sqref="W34:W37">
    <cfRule type="cellIs" dxfId="60" priority="16" operator="equal">
      <formula>1</formula>
    </cfRule>
  </conditionalFormatting>
  <conditionalFormatting sqref="W46:W49">
    <cfRule type="cellIs" dxfId="59" priority="14" operator="equal">
      <formula>1</formula>
    </cfRule>
    <cfRule type="cellIs" dxfId="58" priority="15" operator="greaterThan">
      <formula>1</formula>
    </cfRule>
  </conditionalFormatting>
  <conditionalFormatting sqref="W46:W49">
    <cfRule type="cellIs" dxfId="57" priority="13" operator="equal">
      <formula>1</formula>
    </cfRule>
  </conditionalFormatting>
  <conditionalFormatting sqref="W57:W60">
    <cfRule type="cellIs" dxfId="56" priority="11" operator="equal">
      <formula>1</formula>
    </cfRule>
    <cfRule type="cellIs" dxfId="55" priority="12" operator="greaterThan">
      <formula>1</formula>
    </cfRule>
  </conditionalFormatting>
  <conditionalFormatting sqref="W57:W60">
    <cfRule type="cellIs" dxfId="54" priority="10" operator="equal">
      <formula>1</formula>
    </cfRule>
  </conditionalFormatting>
  <conditionalFormatting sqref="W69:W72">
    <cfRule type="cellIs" dxfId="53" priority="8" operator="equal">
      <formula>1</formula>
    </cfRule>
    <cfRule type="cellIs" dxfId="52" priority="9" operator="greaterThan">
      <formula>1</formula>
    </cfRule>
  </conditionalFormatting>
  <conditionalFormatting sqref="W69:W72">
    <cfRule type="cellIs" dxfId="51" priority="7" operator="equal">
      <formula>1</formula>
    </cfRule>
  </conditionalFormatting>
  <conditionalFormatting sqref="W81:W84">
    <cfRule type="cellIs" dxfId="50" priority="5" operator="equal">
      <formula>1</formula>
    </cfRule>
    <cfRule type="cellIs" dxfId="49" priority="6" operator="greaterThan">
      <formula>1</formula>
    </cfRule>
  </conditionalFormatting>
  <conditionalFormatting sqref="W81:W84">
    <cfRule type="cellIs" dxfId="48" priority="4" operator="equal">
      <formula>1</formula>
    </cfRule>
  </conditionalFormatting>
  <conditionalFormatting sqref="W93:W96">
    <cfRule type="cellIs" dxfId="47" priority="2" operator="equal">
      <formula>1</formula>
    </cfRule>
    <cfRule type="cellIs" dxfId="46" priority="3" operator="greaterThan">
      <formula>1</formula>
    </cfRule>
  </conditionalFormatting>
  <conditionalFormatting sqref="W93:W96">
    <cfRule type="cellIs" dxfId="45" priority="1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zoomScale="115" zoomScaleNormal="115" workbookViewId="0">
      <selection activeCell="I1" sqref="I1:I16"/>
    </sheetView>
  </sheetViews>
  <sheetFormatPr defaultRowHeight="11.25" x14ac:dyDescent="0.2"/>
  <cols>
    <col min="1" max="8" width="3" customWidth="1"/>
    <col min="9" max="9" width="5.33203125" customWidth="1"/>
    <col min="10" max="107" width="3" customWidth="1"/>
  </cols>
  <sheetData>
    <row r="1" spans="1:9" x14ac:dyDescent="0.2">
      <c r="A1" s="5">
        <v>0</v>
      </c>
      <c r="B1" s="6">
        <v>0</v>
      </c>
      <c r="C1" s="6">
        <v>0</v>
      </c>
      <c r="D1" s="6">
        <v>0</v>
      </c>
      <c r="E1" s="6">
        <v>0</v>
      </c>
      <c r="F1" s="6">
        <v>0</v>
      </c>
      <c r="G1" s="6">
        <v>0</v>
      </c>
      <c r="H1" s="7">
        <v>0</v>
      </c>
      <c r="I1" s="14" t="str">
        <f>"{0x" &amp; DEC2HEX(A1+B1*2+C1*4+D1*8+E1*16+F1*32+G1*64+H1*128) &amp; ","</f>
        <v>{0x0,</v>
      </c>
    </row>
    <row r="2" spans="1:9" x14ac:dyDescent="0.2">
      <c r="A2" s="8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9">
        <v>0</v>
      </c>
      <c r="I2" s="14" t="str">
        <f>"0x" &amp; DEC2HEX(A2+B2*2+C2*4+D2*8+E2*16+F2*32+G2*64+H2*128) &amp; ","</f>
        <v>0x0,</v>
      </c>
    </row>
    <row r="3" spans="1:9" x14ac:dyDescent="0.2">
      <c r="A3" s="8">
        <v>0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9">
        <v>0</v>
      </c>
      <c r="I3" s="14" t="str">
        <f t="shared" ref="I3:I16" si="0">"0x" &amp; DEC2HEX(A3+B3*2+C3*4+D3*8+E3*16+F3*32+G3*64+H3*128) &amp; ","</f>
        <v>0x0,</v>
      </c>
    </row>
    <row r="4" spans="1:9" x14ac:dyDescent="0.2">
      <c r="A4" s="8">
        <v>0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1</v>
      </c>
      <c r="H4" s="9">
        <v>0</v>
      </c>
      <c r="I4" s="14" t="str">
        <f t="shared" si="0"/>
        <v>0x40,</v>
      </c>
    </row>
    <row r="5" spans="1:9" x14ac:dyDescent="0.2">
      <c r="A5" s="8">
        <v>0</v>
      </c>
      <c r="B5" s="2">
        <v>0</v>
      </c>
      <c r="C5" s="2">
        <v>1</v>
      </c>
      <c r="D5" s="2">
        <v>0</v>
      </c>
      <c r="E5" s="2">
        <v>1</v>
      </c>
      <c r="F5" s="2">
        <v>0</v>
      </c>
      <c r="G5" s="2">
        <v>1</v>
      </c>
      <c r="H5" s="9">
        <v>0</v>
      </c>
      <c r="I5" s="14" t="str">
        <f t="shared" si="0"/>
        <v>0x54,</v>
      </c>
    </row>
    <row r="6" spans="1:9" x14ac:dyDescent="0.2">
      <c r="A6" s="8">
        <v>0</v>
      </c>
      <c r="B6" s="2">
        <v>1</v>
      </c>
      <c r="C6" s="2">
        <v>1</v>
      </c>
      <c r="D6" s="2">
        <v>0</v>
      </c>
      <c r="E6" s="2">
        <v>1</v>
      </c>
      <c r="F6" s="2">
        <v>0</v>
      </c>
      <c r="G6" s="2">
        <v>1</v>
      </c>
      <c r="H6" s="9">
        <v>0</v>
      </c>
      <c r="I6" s="14" t="str">
        <f t="shared" si="0"/>
        <v>0x56,</v>
      </c>
    </row>
    <row r="7" spans="1:9" x14ac:dyDescent="0.2">
      <c r="A7" s="8">
        <v>0</v>
      </c>
      <c r="B7" s="2">
        <v>1</v>
      </c>
      <c r="C7" s="2">
        <v>1</v>
      </c>
      <c r="D7" s="2">
        <v>0</v>
      </c>
      <c r="E7" s="2">
        <v>1</v>
      </c>
      <c r="F7" s="2">
        <v>0</v>
      </c>
      <c r="G7" s="2">
        <v>1</v>
      </c>
      <c r="H7" s="9">
        <v>0</v>
      </c>
      <c r="I7" s="14" t="str">
        <f t="shared" si="0"/>
        <v>0x56,</v>
      </c>
    </row>
    <row r="8" spans="1:9" ht="12" thickBot="1" x14ac:dyDescent="0.25">
      <c r="A8" s="10">
        <v>0</v>
      </c>
      <c r="B8" s="11">
        <v>1</v>
      </c>
      <c r="C8" s="11">
        <v>1</v>
      </c>
      <c r="D8" s="11">
        <v>1</v>
      </c>
      <c r="E8" s="11">
        <v>1</v>
      </c>
      <c r="F8" s="11">
        <v>1</v>
      </c>
      <c r="G8" s="11">
        <v>1</v>
      </c>
      <c r="H8" s="12">
        <v>0</v>
      </c>
      <c r="I8" s="14" t="str">
        <f t="shared" si="0"/>
        <v>0x7E,</v>
      </c>
    </row>
    <row r="9" spans="1:9" x14ac:dyDescent="0.2">
      <c r="A9" s="5">
        <v>0</v>
      </c>
      <c r="B9" s="6">
        <v>1</v>
      </c>
      <c r="C9" s="6">
        <v>1</v>
      </c>
      <c r="D9" s="6">
        <v>1</v>
      </c>
      <c r="E9" s="6">
        <v>1</v>
      </c>
      <c r="F9" s="6">
        <v>1</v>
      </c>
      <c r="G9" s="6">
        <v>1</v>
      </c>
      <c r="H9" s="7">
        <v>0</v>
      </c>
      <c r="I9" s="14" t="str">
        <f t="shared" si="0"/>
        <v>0x7E,</v>
      </c>
    </row>
    <row r="10" spans="1:9" x14ac:dyDescent="0.2">
      <c r="A10" s="8">
        <v>0</v>
      </c>
      <c r="B10" s="2">
        <v>1</v>
      </c>
      <c r="C10" s="2">
        <v>1</v>
      </c>
      <c r="D10" s="2">
        <v>1</v>
      </c>
      <c r="E10" s="2">
        <v>1</v>
      </c>
      <c r="F10" s="2">
        <v>1</v>
      </c>
      <c r="G10" s="2">
        <v>1</v>
      </c>
      <c r="H10" s="9">
        <v>0</v>
      </c>
      <c r="I10" s="14" t="str">
        <f t="shared" si="0"/>
        <v>0x7E,</v>
      </c>
    </row>
    <row r="11" spans="1:9" x14ac:dyDescent="0.2">
      <c r="A11" s="8">
        <v>0</v>
      </c>
      <c r="B11" s="2">
        <v>1</v>
      </c>
      <c r="C11" s="2">
        <v>1</v>
      </c>
      <c r="D11" s="2">
        <v>1</v>
      </c>
      <c r="E11" s="2">
        <v>1</v>
      </c>
      <c r="F11" s="2">
        <v>1</v>
      </c>
      <c r="G11" s="2">
        <v>1</v>
      </c>
      <c r="H11" s="9">
        <v>0</v>
      </c>
      <c r="I11" s="14" t="str">
        <f t="shared" si="0"/>
        <v>0x7E,</v>
      </c>
    </row>
    <row r="12" spans="1:9" x14ac:dyDescent="0.2">
      <c r="A12" s="8">
        <v>0</v>
      </c>
      <c r="B12" s="2">
        <v>1</v>
      </c>
      <c r="C12" s="2">
        <v>1</v>
      </c>
      <c r="D12" s="2">
        <v>1</v>
      </c>
      <c r="E12" s="2">
        <v>1</v>
      </c>
      <c r="F12" s="2">
        <v>1</v>
      </c>
      <c r="G12" s="2">
        <v>1</v>
      </c>
      <c r="H12" s="9">
        <v>0</v>
      </c>
      <c r="I12" s="14" t="str">
        <f t="shared" si="0"/>
        <v>0x7E,</v>
      </c>
    </row>
    <row r="13" spans="1:9" x14ac:dyDescent="0.2">
      <c r="A13" s="8">
        <v>0</v>
      </c>
      <c r="B13" s="2">
        <v>1</v>
      </c>
      <c r="C13" s="2">
        <v>1</v>
      </c>
      <c r="D13" s="2">
        <v>1</v>
      </c>
      <c r="E13" s="2">
        <v>1</v>
      </c>
      <c r="F13" s="2">
        <v>1</v>
      </c>
      <c r="G13" s="2">
        <v>1</v>
      </c>
      <c r="H13" s="9">
        <v>0</v>
      </c>
      <c r="I13" s="14" t="str">
        <f t="shared" si="0"/>
        <v>0x7E,</v>
      </c>
    </row>
    <row r="14" spans="1:9" x14ac:dyDescent="0.2">
      <c r="A14" s="8">
        <v>0</v>
      </c>
      <c r="B14" s="2">
        <v>1</v>
      </c>
      <c r="C14" s="2">
        <v>1</v>
      </c>
      <c r="D14" s="2">
        <v>1</v>
      </c>
      <c r="E14" s="2">
        <v>1</v>
      </c>
      <c r="F14" s="2">
        <v>1</v>
      </c>
      <c r="G14" s="2">
        <v>1</v>
      </c>
      <c r="H14" s="9">
        <v>0</v>
      </c>
      <c r="I14" s="14" t="str">
        <f t="shared" si="0"/>
        <v>0x7E,</v>
      </c>
    </row>
    <row r="15" spans="1:9" x14ac:dyDescent="0.2">
      <c r="A15" s="8">
        <v>0</v>
      </c>
      <c r="B15" s="2">
        <v>1</v>
      </c>
      <c r="C15" s="2">
        <v>1</v>
      </c>
      <c r="D15" s="2">
        <v>1</v>
      </c>
      <c r="E15" s="2">
        <v>1</v>
      </c>
      <c r="F15" s="2">
        <v>1</v>
      </c>
      <c r="G15" s="2">
        <v>1</v>
      </c>
      <c r="H15" s="9">
        <v>0</v>
      </c>
      <c r="I15" s="14" t="str">
        <f t="shared" si="0"/>
        <v>0x7E,</v>
      </c>
    </row>
    <row r="16" spans="1:9" ht="12" thickBot="1" x14ac:dyDescent="0.25">
      <c r="A16" s="10">
        <v>0</v>
      </c>
      <c r="B16" s="11">
        <v>1</v>
      </c>
      <c r="C16" s="11">
        <v>1</v>
      </c>
      <c r="D16" s="11">
        <v>1</v>
      </c>
      <c r="E16" s="11">
        <v>1</v>
      </c>
      <c r="F16" s="11">
        <v>1</v>
      </c>
      <c r="G16" s="11">
        <v>1</v>
      </c>
      <c r="H16" s="12">
        <v>0</v>
      </c>
      <c r="I16" s="14" t="str">
        <f>"0x" &amp; DEC2HEX(A16+B16*2+C16*4+D16*8+E16*16+F16*32+G16*64+H16*128) &amp; "},"</f>
        <v>0x7E},</v>
      </c>
    </row>
  </sheetData>
  <conditionalFormatting sqref="G9:G11 F9:F15 E9:E12 D9:D15 C9:C12 B9:B13 A1:H8">
    <cfRule type="cellIs" dxfId="44" priority="143" operator="equal">
      <formula>1</formula>
    </cfRule>
    <cfRule type="cellIs" dxfId="43" priority="144" operator="greaterThan">
      <formula>1</formula>
    </cfRule>
  </conditionalFormatting>
  <conditionalFormatting sqref="G9:G11 F9:F15 E9:E12 D9:D15 C9:C12 B9:B13 A1:H8">
    <cfRule type="cellIs" dxfId="42" priority="142" operator="equal">
      <formula>1</formula>
    </cfRule>
  </conditionalFormatting>
  <conditionalFormatting sqref="I1:I16">
    <cfRule type="cellIs" dxfId="41" priority="8" operator="equal">
      <formula>1</formula>
    </cfRule>
    <cfRule type="cellIs" dxfId="40" priority="9" operator="greaterThan">
      <formula>1</formula>
    </cfRule>
  </conditionalFormatting>
  <conditionalFormatting sqref="I1:I16">
    <cfRule type="cellIs" dxfId="39" priority="7" operator="equal">
      <formula>1</formula>
    </cfRule>
  </conditionalFormatting>
  <conditionalFormatting sqref="A16:H16 H9:H11 G12:H15 A14:C15 E13:E15 A9:A13 C13">
    <cfRule type="cellIs" dxfId="38" priority="5" operator="equal">
      <formula>1</formula>
    </cfRule>
    <cfRule type="cellIs" dxfId="37" priority="6" operator="greaterThan">
      <formula>1</formula>
    </cfRule>
  </conditionalFormatting>
  <conditionalFormatting sqref="A16:H16 H9:H11 G12:H15 A14:C15 E13:E15 A9:A13 C13">
    <cfRule type="cellIs" dxfId="34" priority="4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4x4</vt:lpstr>
      <vt:lpstr>8x8</vt:lpstr>
    </vt:vector>
  </TitlesOfParts>
  <Company>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MX</dc:creator>
  <cp:lastModifiedBy>Admin</cp:lastModifiedBy>
  <dcterms:created xsi:type="dcterms:W3CDTF">2016-08-17T03:40:31Z</dcterms:created>
  <dcterms:modified xsi:type="dcterms:W3CDTF">2016-08-28T14:47:02Z</dcterms:modified>
</cp:coreProperties>
</file>